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Checklist nộp bài" sheetId="2" r:id="rId6"/>
    <sheet state="visible" name="Phân công" sheetId="3" r:id="rId7"/>
    <sheet state="visible" name="Lịch 4 ngày" sheetId="4" r:id="rId8"/>
    <sheet state="visible" name="Đối chiếu đề bài" sheetId="5" r:id="rId9"/>
    <sheet state="visible" name="Báo cáo" sheetId="6" r:id="rId10"/>
    <sheet state="visible" name="Video" sheetId="7" r:id="rId11"/>
    <sheet state="visible" name="Thông tin bìa" sheetId="8" r:id="rId12"/>
    <sheet state="visible" name="API List" sheetId="9" r:id="rId13"/>
    <sheet state="visible" name="Rủi ro" sheetId="10" r:id="rId14"/>
    <sheet state="visible" name="Chuẩn DoD" sheetId="11" r:id="rId15"/>
  </sheets>
  <definedNames>
    <definedName hidden="1" localSheetId="2" name="_xlnm._FilterDatabase">'Phân công'!$A$1:$O$75</definedName>
    <definedName hidden="1" localSheetId="8" name="_xlnm._FilterDatabase">'API List'!$A$1:$I$38</definedName>
  </definedNames>
  <calcPr/>
</workbook>
</file>

<file path=xl/sharedStrings.xml><?xml version="1.0" encoding="utf-8"?>
<sst xmlns="http://schemas.openxmlformats.org/spreadsheetml/2006/main" count="1677" uniqueCount="811">
  <si>
    <t>TECHSTORE – KẾ HOẠCH &amp; PHÂN CÔNG DỰ ÁN (4 NGÀY)</t>
  </si>
  <si>
    <t>Ngày thứ</t>
  </si>
  <si>
    <t>CHECKLIST NỘP BÀI – 4 HẠNG MỤC BẮT BUỘC</t>
  </si>
  <si>
    <t>Đồ án nhóm – Topic 1: RESTful API · PHP thuần, MySQL, HTML/CSS/JS</t>
  </si>
  <si>
    <t>Chọn trạng thái ở cột G. Chỉ nộp khi mọi mục đều 'Đạt'. Hạn = ngày thứ trong kế hoạch 4 ngày.</t>
  </si>
  <si>
    <t>Ngày</t>
  </si>
  <si>
    <t>Ô nền vàng = ô cần nhập/sửa. Chữ xanh dương = số liệu đầu vào. Mọi số tổng hợp tự tính theo sheet 'Phân công'.</t>
  </si>
  <si>
    <t>Mốc (Milestone)</t>
  </si>
  <si>
    <t>Đã đạt</t>
  </si>
  <si>
    <t>Giờ Hữu Nam</t>
  </si>
  <si>
    <t>Giờ Thành Trung</t>
  </si>
  <si>
    <t>Tên dự án</t>
  </si>
  <si>
    <t>Giờ Kiệt</t>
  </si>
  <si>
    <t>Tổng giờ</t>
  </si>
  <si>
    <t>Số việc</t>
  </si>
  <si>
    <t>ID</t>
  </si>
  <si>
    <t>Trọng tâm Hữu Nam</t>
  </si>
  <si>
    <t>Trọng tâm Thành Trung</t>
  </si>
  <si>
    <t>Trọng tâm Kiệt</t>
  </si>
  <si>
    <t>TechStore – Website TMĐT đồ công nghệ</t>
  </si>
  <si>
    <t>Nhóm việc</t>
  </si>
  <si>
    <t>Nhiệm vụ</t>
  </si>
  <si>
    <t>Sản phẩm bàn giao</t>
  </si>
  <si>
    <t>Phụ trách</t>
  </si>
  <si>
    <t>Review</t>
  </si>
  <si>
    <t>Ngày bắt đầu (Day 1)</t>
  </si>
  <si>
    <t>Ưu tiên</t>
  </si>
  <si>
    <t>Giờ ước tính</t>
  </si>
  <si>
    <t>Phụ thuộc</t>
  </si>
  <si>
    <t>Nhánh Git</t>
  </si>
  <si>
    <t>Trạng thái</t>
  </si>
  <si>
    <t>% hoàn thành</t>
  </si>
  <si>
    <t>Ghi chú</t>
  </si>
  <si>
    <t>T01</t>
  </si>
  <si>
    <t>Ngày kết thúc (Day 4)</t>
  </si>
  <si>
    <t>Quản lý</t>
  </si>
  <si>
    <t>Tạo repo GitHub (private), bảo vệ nhánh main, tạo nhánh develop, mời thành viên, bật GitHub Projects (Kanban) + labels</t>
  </si>
  <si>
    <t>Mô hình làm việc</t>
  </si>
  <si>
    <t>Nền móng: repo, khung, DB, JWT/Auth, API sản phẩm, layout + đăng nhập FE, khung báo cáo, Mở đầu + Chương 1</t>
  </si>
  <si>
    <t>Repo + branch rules + board (xem GIT_WORKFLOW.md)</t>
  </si>
  <si>
    <t>Git Flow rút gọn · Stand-up 08:30 mỗi ngày · PR + review bắt buộc</t>
  </si>
  <si>
    <t>Hữu Nam</t>
  </si>
  <si>
    <t>Thành Trung</t>
  </si>
  <si>
    <t>Cao</t>
  </si>
  <si>
    <t>Repo Git</t>
  </si>
  <si>
    <t>https://github.com/trannam1304/TechStore</t>
  </si>
  <si>
    <t>-</t>
  </si>
  <si>
    <t>main / develop</t>
  </si>
  <si>
    <t>Hoàn thành</t>
  </si>
  <si>
    <t>#</t>
  </si>
  <si>
    <t>Hạng mục</t>
  </si>
  <si>
    <t>Yêu cầu bắt buộc</t>
  </si>
  <si>
    <t>Cách kiểm tra</t>
  </si>
  <si>
    <t>Nhờ AI viết GIT_WORKFLOW.md ngắn (1 trang)</t>
  </si>
  <si>
    <t>Hạn (ngày thứ)</t>
  </si>
  <si>
    <t>T02</t>
  </si>
  <si>
    <t>1. Báo cáo (Report)</t>
  </si>
  <si>
    <t>Nộp đủ cả 2 định dạng: Word (.docx) và PDF</t>
  </si>
  <si>
    <t>Có 2 file cùng nội dung, mở được trên máy khác</t>
  </si>
  <si>
    <t>Họp kickoff: chốt phạm vi, backlog, quy ước code &amp; API, lịch stand-up; nhận template báo cáo của Khoa; xác nhận với giảng viên thông tin trang bìa (logo, tên GV, thành viên)</t>
  </si>
  <si>
    <t>Tài liệu</t>
  </si>
  <si>
    <t>Biên bản họp docs/meeting-notes.md + sheet 'Thông tin bìa' đã điền và xác nhận</t>
  </si>
  <si>
    <t>Readme.md · GIT_WORKFLOW.md · Checklist nộp bài · docs/openapi.yaml</t>
  </si>
  <si>
    <t>Chưa kiểm</t>
  </si>
  <si>
    <t>ĐỘI NGŨ</t>
  </si>
  <si>
    <t>Bám sát template của Khoa (font, cỡ chữ, lề, giãn dòng, đánh số chương/mục, thứ tự các phần)</t>
  </si>
  <si>
    <t>docs/kickoff</t>
  </si>
  <si>
    <t>Đối chiếu từng trang với template; kiểm tra bởi Kiệt + Hữu Nam</t>
  </si>
  <si>
    <t>Kiệt</t>
  </si>
  <si>
    <t>Mã</t>
  </si>
  <si>
    <t>Soạn CONTEXT.md (stack, quy ước, định dạng JSON) – dán vào mọi prompt AI. Đối chiếu đề bài: sheet 'Đối chiếu đề bài'</t>
  </si>
  <si>
    <t>T03</t>
  </si>
  <si>
    <t>Họ tên</t>
  </si>
  <si>
    <t>Vai trò</t>
  </si>
  <si>
    <t>Trọng tâm công việc</t>
  </si>
  <si>
    <t>Độ dài phần thân 20–60 trang (không tính trang bìa và phụ lục)</t>
  </si>
  <si>
    <t>Xem ô tổng trang ở sheet 'Báo cáo'; đếm lại trên file Word/PDF cuối</t>
  </si>
  <si>
    <t>A</t>
  </si>
  <si>
    <t>Leader / Tech Lead / Back-end Core</t>
  </si>
  <si>
    <t>Trang bìa: logo đúng (file logo chính thức của trường/Khoa)</t>
  </si>
  <si>
    <t>Kiến trúc, Auth/JWT, Giỏ hàng, Đơn hàng, QR, quản lý repo, tích hợp, Chương 3 &amp; 6, ghép báo cáo Word/PDF, đóng gói nộp bài</t>
  </si>
  <si>
    <t>Đối chiếu với template + website trường</t>
  </si>
  <si>
    <t>Hạ tầng</t>
  </si>
  <si>
    <t>B</t>
  </si>
  <si>
    <t>Dựng khung dự án: cấu trúc thư mục, front controller, Router, Response helper, config/.env, autoload, route /api/v1/ping</t>
  </si>
  <si>
    <t>Khung chạy được trên local</t>
  </si>
  <si>
    <t>Back-end &amp; Thuật toán</t>
  </si>
  <si>
    <t>CSDL, Sản phẩm, Admin API, Gợi ý sản phẩm, Chương 2 &amp; 4, dọn mã nguồn, Readme, dựng video</t>
  </si>
  <si>
    <t>C</t>
  </si>
  <si>
    <t>Front-end</t>
  </si>
  <si>
    <t>Trang bìa: tên giảng viên đúng (chính tả, học hàm/học vị)</t>
  </si>
  <si>
    <t>Toàn bộ giao diện khách + admin, khung báo cáo theo template, Mở đầu + Chương 1 &amp; 5, slide, demo giao diện, chạy thử trên máy sạch</t>
  </si>
  <si>
    <t>Đối chiếu với thông tin GV xác nhận ở sheet 'Thông tin bìa'</t>
  </si>
  <si>
    <t>TIẾN ĐỘ &amp; KHỐI LƯỢNG (tự tính)</t>
  </si>
  <si>
    <t>feature/project-skeleton</t>
  </si>
  <si>
    <t>Thành viên</t>
  </si>
  <si>
    <t>Trang bìa: đủ và đúng họ tên + MSSV của 3 thành viên (Hữu Nam, Kiệt, Thành Trung), tên đề tài, lớp, học kỳ</t>
  </si>
  <si>
    <t>Prompt: dán CONTEXT.md + 'tạo khung PHP thuần theo MVC, không dùng framework'</t>
  </si>
  <si>
    <t>Số nhiệm vụ</t>
  </si>
  <si>
    <t>Từng thành viên tự kiểm tra thông tin của mình</t>
  </si>
  <si>
    <t>T04</t>
  </si>
  <si>
    <t>Tổng giờ ước tính</t>
  </si>
  <si>
    <t>Số việc hoàn thành</t>
  </si>
  <si>
    <t>% tiến độ (theo giờ)</t>
  </si>
  <si>
    <t>Database</t>
  </si>
  <si>
    <t>Thiết kế ERD và viết schema.sql (≥15 bảng: users, products, categories, brands, product_images, product_specs, carts, orders, order_items, payments, reviews, wishlists, coupons, refresh_tokens, product_views, product_similarity, audit_logs)</t>
  </si>
  <si>
    <t>docs/erd.png + database/schema.sql</t>
  </si>
  <si>
    <t>Trang bìa đã được ít nhất 2 người kiểm tra chéo trên CẢ bản Word và bản PDF</t>
  </si>
  <si>
    <t>Ghi tên 2 người kiểm tra ở sheet 'Thông tin bìa'</t>
  </si>
  <si>
    <t>feature/database-schema</t>
  </si>
  <si>
    <t>Chưa bắt đầu</t>
  </si>
  <si>
    <t>Trình bày chuyên nghiệp: mục lục tự động, số trang, hình/bảng có số và chú thích, trích dẫn nguồn, font thống nhất, không lỗi chính tả</t>
  </si>
  <si>
    <t>Đọc soát toàn văn; cập nhật mục lục (F9) trước khi xuất PDF</t>
  </si>
  <si>
    <t>T05</t>
  </si>
  <si>
    <t>PDF xuất từ Word: không lỗi font/ảnh, số trang và nội dung khớp bản Word</t>
  </si>
  <si>
    <t>Mở PDF, lật toàn bộ trang</t>
  </si>
  <si>
    <t>Viết seed.sql: ≥40 sản phẩm, 8 hãng, 5 danh mục, user mẫu, ~30 đơn mẫu (phục vụ thuật toán gợi ý)</t>
  </si>
  <si>
    <t>database/seed.sql</t>
  </si>
  <si>
    <t>Repo, khung, JWT/Auth, Validator/CORS, events/view</t>
  </si>
  <si>
    <t>ERD, schema, seed, openapi, API sản phẩm, Postman</t>
  </si>
  <si>
    <t>2. Mã nguồn</t>
  </si>
  <si>
    <t>Wireframe, layout, api.js, login/register, khung báo cáo, Mở đầu + Ch1</t>
  </si>
  <si>
    <t>Mã nguồn sạch: không file rác/debug/backup/log, không lộ mật khẩu hay khóa thật</t>
  </si>
  <si>
    <t>Quét thư mục; kiểm tra .gitignore và .env</t>
  </si>
  <si>
    <t>Thư mục tổ chức gọn gàng (public/, api/, config/, database/, docs/, tests/)</t>
  </si>
  <si>
    <t>T06</t>
  </si>
  <si>
    <t>So khớp cấu trúc trong README</t>
  </si>
  <si>
    <t>Giỏ hàng, coupon, đơn hàng, QR, Admin API, review/wishlist + trang mua hàng; Chương 2 &amp; 3 – Checkpoint 1 (~50%)</t>
  </si>
  <si>
    <t>Có file quản lý thư viện/dependencies cần thiết (composer.json + composer.lock, hoặc ghi rõ không dùng thư viện ngoài; thư viện JS đặt sẵn trong public/assets/vendor)</t>
  </si>
  <si>
    <t>Chạy cài đặt trên thư mục sạch</t>
  </si>
  <si>
    <t>Viết khung openapi.yaml (hợp đồng API giữa FE và BE) cho các nhóm Auth, Product, Cart, Order</t>
  </si>
  <si>
    <t>docs/openapi.yaml v0.1</t>
  </si>
  <si>
    <t>Có .env.example, database/schema.sql, database/seed.sql; import không lỗi</t>
  </si>
  <si>
    <t>docs/openapi</t>
  </si>
  <si>
    <t>Import vào MySQL mới</t>
  </si>
  <si>
    <t>T07</t>
  </si>
  <si>
    <t>Ứng dụng chạy được trên máy sạch, chỉ làm theo Readme.md</t>
  </si>
  <si>
    <t>Kiệt chạy thử trên máy khác ngày 4</t>
  </si>
  <si>
    <t>3. Video thuyết trình</t>
  </si>
  <si>
    <t>Thời lượng tối đa 20 phút</t>
  </si>
  <si>
    <t>Xem ô tổng thời lượng ở sheet 'Video' và thời lượng file cuối</t>
  </si>
  <si>
    <t>Thiết kế</t>
  </si>
  <si>
    <t>Có phần lý thuyết</t>
  </si>
  <si>
    <t>Wireframe + UI kit: trang chủ, danh sách, chi tiết, giỏ, checkout, trang QR, admin; chọn màu/font/spacing (design tokens CSS)</t>
  </si>
  <si>
    <t>Đối chiếu bảng phân đoạn</t>
  </si>
  <si>
    <t>docs/wireframes + assets/css/tokens.css</t>
  </si>
  <si>
    <t>Có phần kiến trúc hệ thống</t>
  </si>
  <si>
    <t>feature/ui-kit</t>
  </si>
  <si>
    <t>Có phần giải thích code</t>
  </si>
  <si>
    <t>T08</t>
  </si>
  <si>
    <t>Có phần demo sản phẩm (khách hàng, quản trị, API)</t>
  </si>
  <si>
    <t>Cài môi trường (XAMPP/Laragon, PHP 8, MySQL, Postman), clone repo, chạy thử khung</t>
  </si>
  <si>
    <t>Cả 3 thành viên đều tham gia thuyết trình trong video</t>
  </si>
  <si>
    <t>Cả nhóm chạy được local</t>
  </si>
  <si>
    <t>Mỗi người xuất hiện và nói ít nhất 1 phần (sheet 'Video')</t>
  </si>
  <si>
    <t>Âm thanh rõ: không rè/ồn, âm lượng đều giữa các phần</t>
  </si>
  <si>
    <t>Nghe toàn bộ video bằng tai nghe</t>
  </si>
  <si>
    <t>Cart, Coupon, Order, QR, checkpoint, Chương 3</t>
  </si>
  <si>
    <t>Admin Product/Category/Order/User API, Review/Wishlist, Postman, demo JWT, Chương 2</t>
  </si>
  <si>
    <t>T09</t>
  </si>
  <si>
    <t>Trang chủ, danh sách, giỏ, checkout, QR, tài khoản</t>
  </si>
  <si>
    <t>Hình ảnh rõ: ≥ 1080p, chữ trong IDE/trình duyệt đủ lớn để đọc</t>
  </si>
  <si>
    <t>Xem toàn màn hình</t>
  </si>
  <si>
    <t>4. Readme.md</t>
  </si>
  <si>
    <t>Ghi rõ yêu cầu hệ thống (HĐH, phiên bản PHP + extension, MySQL/MariaDB, web server, trình duyệt, Composer nếu cần)</t>
  </si>
  <si>
    <t>Đọc lại Readme</t>
  </si>
  <si>
    <t>Báo cáo</t>
  </si>
  <si>
    <t>Nhận template báo cáo của Khoa, dựng khung .docx đúng template (styles, mục lục tự động, đánh số trang, trang bìa); lập dàn ý chương và phân bổ số trang (20–60 trang, không tính bìa &amp; phụ lục) – xem sheet 'Báo cáo'</t>
  </si>
  <si>
    <t>Khung báo cáo .docx đúng template + dàn ý</t>
  </si>
  <si>
    <t>Hướng dẫn thiết lập môi trường từng bước</t>
  </si>
  <si>
    <t>Làm theo từng bước trên máy sạch</t>
  </si>
  <si>
    <t>docs/report</t>
  </si>
  <si>
    <t>Gợi ý sản phẩm, Admin UI, OAuth + rate limit, REST nâng cao, so sánh REST/GraphQL, tích hợp – FEATURE FREEZE cuối ngày</t>
  </si>
  <si>
    <t>Hướng dẫn cài đặt cơ sở dữ liệu (tạo DB, import schema + seed)</t>
  </si>
  <si>
    <t>T10</t>
  </si>
  <si>
    <t>Có lệnh chạy dự án và địa chỉ truy cập (khách, admin, API)</t>
  </si>
  <si>
    <t>Chạy đúng lệnh trong Readme</t>
  </si>
  <si>
    <t>Auth</t>
  </si>
  <si>
    <t>JwtService (HS256 ký/xác thực, exp), AuthMiddleware, RoleMiddleware (customer/admin)</t>
  </si>
  <si>
    <t>api/services/JwtService.php + middleware</t>
  </si>
  <si>
    <t>Cung cấp sẵn thông tin đăng nhập tài khoản admin (và tài khoản khách)</t>
  </si>
  <si>
    <t>Đăng nhập thử bằng đúng thông tin ghi trong Readme</t>
  </si>
  <si>
    <t>feature/auth-jwt</t>
  </si>
  <si>
    <t>Giáo viên có thể tự khởi chạy code chỉ bằng Readme (đã xác nhận trên máy sạch)</t>
  </si>
  <si>
    <t>Kiệt xác nhận</t>
  </si>
  <si>
    <t>Đề bài: bảo mật bằng JWT. Tự đọc hiểu JwtService để giải thích trong video</t>
  </si>
  <si>
    <t>T11</t>
  </si>
  <si>
    <t>Stats, audit log, webhook HMAC, tích hợp E2E + OAuth, rà bảo mật, so sánh GraphQL, kịch bản video</t>
  </si>
  <si>
    <t>TỔNG CỘNG</t>
  </si>
  <si>
    <t>Content-based, mua cùng, cá nhân hóa, ETag/HATEOAS, chuẩn hóa thư viện, Chương 4</t>
  </si>
  <si>
    <t>Admin dashboard/sản phẩm/đơn/người dùng, carousel gợi ý, Swagger UI + bảng ánh xạ</t>
  </si>
  <si>
    <t>Test, sửa lỗi, code freeze, Chương 5–6, ghép báo cáo, quay + dựng video, đóng gói nộp bài</t>
  </si>
  <si>
    <t>Endpoint register / login / refresh / logout / me; password_hash; refresh token lưu DB</t>
  </si>
  <si>
    <t>/auth/* chạy được qua Postman</t>
  </si>
  <si>
    <t>T10, T04</t>
  </si>
  <si>
    <t>Đề bài: JWT + refresh token</t>
  </si>
  <si>
    <t>T12</t>
  </si>
  <si>
    <t>THỐNG KÊ TRẠNG THÁI</t>
  </si>
  <si>
    <t>Validator, ErrorHandler chuẩn JSON, CORS config</t>
  </si>
  <si>
    <t>helpers + middleware</t>
  </si>
  <si>
    <t>Đang làm</t>
  </si>
  <si>
    <t>TB</t>
  </si>
  <si>
    <t>Đang review</t>
  </si>
  <si>
    <t>T13</t>
  </si>
  <si>
    <t>Sản phẩm</t>
  </si>
  <si>
    <t>GET /products: lọc (hãng, giá, danh mục, RAM/ROM), sắp xếp, tìm kiếm từ khóa, phân trang</t>
  </si>
  <si>
    <t>OpenAPI v1.0, UAT, freeze/tag, Chương 6, ghép báo cáo, quay, nộp</t>
  </si>
  <si>
    <t>API danh sách sản phẩm</t>
  </si>
  <si>
    <t>Test API, sửa bug BE, Readme, dọn source, quay + dựng video</t>
  </si>
  <si>
    <t>Test UI, sửa bug UI, máy sạch, Chương 5, slide, quay</t>
  </si>
  <si>
    <t>T05, T03</t>
  </si>
  <si>
    <t>feature/product-api</t>
  </si>
  <si>
    <t>Bị chặn</t>
  </si>
  <si>
    <t>TỔNG</t>
  </si>
  <si>
    <t>Đề bài: API quản lý dataset (kho sản phẩm) – lọc/tìm/phân trang</t>
  </si>
  <si>
    <t>Giả định: bắt đầu 21/10/2026 và làm 4 ngày liên tục (đổi ô C5 nếu khác). Giữ nguyên toàn bộ 70 đầu việc của bản 8 ngày + thêm 4 việc bám đề bài (T71–T74). Kế hoạch dựa trên vibe coding: AI sinh phần lớn code nên số giờ mỗi việc được nén còn khoảng 45–60% (báo cáo, kiểm thử, video nén ít hơn); khối lượng ~8,5 giờ/người/ngày, đỉnh ~9–9,5 giờ. Giờ là ước tính của leader, chỉnh lại sau kickoff.</t>
  </si>
  <si>
    <t>T14</t>
  </si>
  <si>
    <t>TÌNH TRẠNG BÀI NỘP (tự tính)</t>
  </si>
  <si>
    <t>Checklist nộp bài (đạt / tổng)</t>
  </si>
  <si>
    <t>GET /products/{id} (ảnh, thông số, đánh giá tóm tắt) + API categories, brands</t>
  </si>
  <si>
    <t>API chi tiết + danh mục + hãng</t>
  </si>
  <si>
    <t>T15</t>
  </si>
  <si>
    <t>Số trang thân báo cáo (mục tiêu 20–60)</t>
  </si>
  <si>
    <t>Test</t>
  </si>
  <si>
    <t>Tạo Postman collection + environment (Auth, Products), script test tự động</t>
  </si>
  <si>
    <t>tests/postman_collection.json</t>
  </si>
  <si>
    <t>T11, T13</t>
  </si>
  <si>
    <t>Thời lượng video (tối đa 20 phút)</t>
  </si>
  <si>
    <t>Đề bài: dùng Postman để gọi API</t>
  </si>
  <si>
    <t>T16</t>
  </si>
  <si>
    <t>Layout chung (header/footer/menu/ô tìm kiếm), CSS base responsive, api.js (fetch wrapper, gắn JWT, xử lý 401/refresh)</t>
  </si>
  <si>
    <t>assets/css/base.css, assets/js/api.js</t>
  </si>
  <si>
    <t>feature/fe-layout</t>
  </si>
  <si>
    <t>Đề bài: dùng front-end để gọi API. Dán openapi.yaml vào prompt cho AI</t>
  </si>
  <si>
    <t>T17</t>
  </si>
  <si>
    <t>Trang đăng nhập / đăng ký (validate form, lưu token an toàn)</t>
  </si>
  <si>
    <t>pages/login.html, register.html</t>
  </si>
  <si>
    <t>T11, T16</t>
  </si>
  <si>
    <t>feature/fe-auth</t>
  </si>
  <si>
    <t>T32</t>
  </si>
  <si>
    <t>Gợi ý</t>
  </si>
  <si>
    <t>Ghi nhận hành vi: bảng product_views + API POST /events/view (user hoặc session id)</t>
  </si>
  <si>
    <t>/events/view</t>
  </si>
  <si>
    <t>feature/recommendation</t>
  </si>
  <si>
    <t>T54</t>
  </si>
  <si>
    <t>Mở đầu &amp; Chương 1: lý do chọn đề tài, mục tiêu, phạm vi, khảo sát mô hình CellphoneS, yêu cầu chức năng/phi chức năng, use case</t>
  </si>
  <si>
    <t>Mở đầu + Chương 1 (~6 trang)</t>
  </si>
  <si>
    <t>T18</t>
  </si>
  <si>
    <t>Giỏ hàng</t>
  </si>
  <si>
    <t>Cart API: GET/POST/PUT/DELETE /cart, tính tổng tiền, kiểm tra tồn kho</t>
  </si>
  <si>
    <t>/cart chạy qua Postman</t>
  </si>
  <si>
    <t>T11, T14</t>
  </si>
  <si>
    <t>feature/cart-api</t>
  </si>
  <si>
    <t>T19</t>
  </si>
  <si>
    <t>Khuyến mãi</t>
  </si>
  <si>
    <t>Coupon API: kiểm tra mã (% hoặc số tiền, hạn dùng, giới hạn lượt) + áp dụng vào giỏ</t>
  </si>
  <si>
    <t>/coupons/validate</t>
  </si>
  <si>
    <t>feature/coupon-api</t>
  </si>
  <si>
    <t>T20</t>
  </si>
  <si>
    <t>Cập nhật Postman: Cart, Coupon, Admin Product</t>
  </si>
  <si>
    <t>Collection v2</t>
  </si>
  <si>
    <t>T21</t>
  </si>
  <si>
    <t>Admin</t>
  </si>
  <si>
    <t>Admin Product CRUD API (POST/PUT/PATCH/DELETE) + upload nhiều ảnh an toàn (kiểm tra mime, đổi tên file)</t>
  </si>
  <si>
    <t>/products (admin)</t>
  </si>
  <si>
    <t>feature/admin-product-api</t>
  </si>
  <si>
    <t>Đề bài: CRUD đủ GET/POST/PUT/PATCH/DELETE</t>
  </si>
  <si>
    <t>T22</t>
  </si>
  <si>
    <t>Admin Category / Brand CRUD API</t>
  </si>
  <si>
    <t>/categories, /brands (admin)</t>
  </si>
  <si>
    <t>T23</t>
  </si>
  <si>
    <t>Trang chủ: banner, danh mục, sản phẩm nổi bật / mới</t>
  </si>
  <si>
    <t>pages/index.html</t>
  </si>
  <si>
    <t>T16, T13</t>
  </si>
  <si>
    <t>feature/fe-home</t>
  </si>
  <si>
    <t>T24</t>
  </si>
  <si>
    <t>ĐỐI CHIẾU ĐỀ BÀI – REST (Topic 1)</t>
  </si>
  <si>
    <t>Trang danh sách sản phẩm: bộ lọc, sắp xếp, phân trang, tìm kiếm gợi ý khi gõ (debounce)</t>
  </si>
  <si>
    <t>pages/products.html</t>
  </si>
  <si>
    <t>Mỗi yêu cầu của đề bài được gắn với việc cụ thể, chương báo cáo và đoạn video. Các dòng 'Khám phá thêm' là phần để lấy điểm cao hơn.</t>
  </si>
  <si>
    <t>T13, T16</t>
  </si>
  <si>
    <t>feature/fe-products</t>
  </si>
  <si>
    <t>T25</t>
  </si>
  <si>
    <t>Yêu cầu đề bài</t>
  </si>
  <si>
    <t>Nhóm thực hiện</t>
  </si>
  <si>
    <t>Việc liên quan</t>
  </si>
  <si>
    <t>Chương báo cáo</t>
  </si>
  <si>
    <t>Video / Demo</t>
  </si>
  <si>
    <t>Đơn hàng</t>
  </si>
  <si>
    <t>Order API: tạo đơn từ giỏ (transaction, trừ tồn kho), luồng trạng thái, hủy đơn, lịch sử đơn</t>
  </si>
  <si>
    <t>/orders</t>
  </si>
  <si>
    <t>Key point: REST principles (stateless, resource representation, uniform interface)</t>
  </si>
  <si>
    <t>Trình bày đủ 6 ràng buộc REST (thêm client-server, cacheable, layered, HATEOAS) và chỉ ra chỗ TechStore áp dụng</t>
  </si>
  <si>
    <t>T46, T71, T74</t>
  </si>
  <si>
    <t>feature/order-api</t>
  </si>
  <si>
    <t>Chương 2</t>
  </si>
  <si>
    <t>Phần 2 – Lý thuyết REST</t>
  </si>
  <si>
    <t>Key point: HTTP methods GET/POST/PUT/DELETE ↔ CRUD</t>
  </si>
  <si>
    <t>Giải thích cả PATCH, safe/idempotent, status code; bảng ánh xạ 37 endpoint thật của dự án</t>
  </si>
  <si>
    <t>T46, T74, T21</t>
  </si>
  <si>
    <t>Dặn AI dùng transaction + kiểm tra chủ sở hữu đơn (chống IDOR)</t>
  </si>
  <si>
    <t>Chương 2 + Phụ lục</t>
  </si>
  <si>
    <t>Phần 2 + Demo Postman</t>
  </si>
  <si>
    <t>T26</t>
  </si>
  <si>
    <t>Key point: Security – JWT</t>
  </si>
  <si>
    <t>JWT HS256 có exp, refresh token lưu DB, phân quyền customer/admin; kịch bản 401/403</t>
  </si>
  <si>
    <t>T10, T11, T55, T73, T51</t>
  </si>
  <si>
    <t>Chương 3</t>
  </si>
  <si>
    <t>Phần 3, Phần 5 (code Auth), Demo Postman</t>
  </si>
  <si>
    <t>Key point: Security – OAuth</t>
  </si>
  <si>
    <t>Lý thuyết OAuth 2.0 (authorization code + PKCE) và demo đăng nhập Google</t>
  </si>
  <si>
    <t>T43, T55</t>
  </si>
  <si>
    <t>Phần 3</t>
  </si>
  <si>
    <t>Key point: Security – các phương thức xác thực khác</t>
  </si>
  <si>
    <t>So sánh Basic, API key, session cookie, JWT, OAuth 2.0; HMAC cho webhook thanh toán; OWASP API Top 10</t>
  </si>
  <si>
    <t>T34, T51, T55</t>
  </si>
  <si>
    <t>Thanh toán</t>
  </si>
  <si>
    <t>QrService (VietQR: số tiền + mã đơn), POST /payments/qr, trạng thái thanh toán, hết hạn QR</t>
  </si>
  <si>
    <t>/payments/qr</t>
  </si>
  <si>
    <t>Key point: so sánh REST với GraphQL / SOAP</t>
  </si>
  <si>
    <t>Bảng so sánh lý thuyết + số liệu thực nghiệm (endpoint /graphql mini, ví dụ SOAP envelope)</t>
  </si>
  <si>
    <t>T55, T72</t>
  </si>
  <si>
    <t>Demo: REST API quản lý dataset (kho/thư viện)</t>
  </si>
  <si>
    <t>Kho sản phẩm TechStore: CRUD sản phẩm, danh mục, hãng, tồn kho, giỏ hàng, đơn hàng</t>
  </si>
  <si>
    <t>T13, T14, T18, T21, T22, T25</t>
  </si>
  <si>
    <t>Chương 4, 5</t>
  </si>
  <si>
    <t>feature/qr-payment</t>
  </si>
  <si>
    <t>Phần 4, 5, 6 (kiến trúc, code)</t>
  </si>
  <si>
    <t>Demo: bảo vệ API bằng JWT</t>
  </si>
  <si>
    <t>Endpoint admin chỉ cho role admin; endpoint khách cần token; tài khoản mẫu có sẵn trong Readme</t>
  </si>
  <si>
    <t>T10, T11, T12, T73</t>
  </si>
  <si>
    <t>Chương 3, 5</t>
  </si>
  <si>
    <t>Demo API với Postman</t>
  </si>
  <si>
    <t>T27</t>
  </si>
  <si>
    <t>Demo: gọi API bằng front-end hoặc Postman</t>
  </si>
  <si>
    <t>Cả hai: giao diện khách + admin dùng fetch/api.js; Postman collection + folder Demo bảo mật</t>
  </si>
  <si>
    <t>T15, T16–T24, T44, T49, T73</t>
  </si>
  <si>
    <t>Chương 5</t>
  </si>
  <si>
    <t>Demo khách hàng, quản trị, Postman</t>
  </si>
  <si>
    <t>Khám phá thêm: tài liệu hóa &amp; thử API</t>
  </si>
  <si>
    <t>openapi.yaml + Swagger UI tại /docs</t>
  </si>
  <si>
    <t>T06, T44, T74</t>
  </si>
  <si>
    <t>Chương 4, Phụ lục</t>
  </si>
  <si>
    <t>Phần Kiến trúc</t>
  </si>
  <si>
    <t>Khám phá thêm: REST nâng cao</t>
  </si>
  <si>
    <t>ETag/Cache-Control, links kiểu HATEOAS, chuẩn lỗi RFC 7807, phiên bản /api/v1, rate limiting</t>
  </si>
  <si>
    <t>T71, T43</t>
  </si>
  <si>
    <t>Chương 2, 4</t>
  </si>
  <si>
    <t>Phần 2</t>
  </si>
  <si>
    <t>Khám phá thêm: tính năng thực tế</t>
  </si>
  <si>
    <t>Thanh toán QR, gợi ý sản phẩm (content-based + co-occurrence), thống kê admin</t>
  </si>
  <si>
    <t>T26, T35, T36, T39, T33</t>
  </si>
  <si>
    <t>Review PR giữa tuần, merge develop, Checkpoint 1 (~50%): demo nội bộ luồng đăng nhập → giỏ → đặt hàng</t>
  </si>
  <si>
    <t>Chương 4</t>
  </si>
  <si>
    <t>Phần Giải thích code, Demo</t>
  </si>
  <si>
    <t>Biên bản checkpoint + develop ổn định</t>
  </si>
  <si>
    <t>develop</t>
  </si>
  <si>
    <t>Cuối ngày 2; nếu trễ thì dồn việc ưu tiên TB/Thấp sang sau</t>
  </si>
  <si>
    <t>T28</t>
  </si>
  <si>
    <t>BÁO CÁO – PHÂN BỔ SỐ TRANG &amp; TIẾN ĐỘ (Word + PDF)</t>
  </si>
  <si>
    <t>Yêu cầu: 20–60 trang, không tính trang bìa và phụ lục. Chỉnh số chương/mục theo template của Khoa. Ô xanh dương = số trang mục tiêu, có thể sửa.</t>
  </si>
  <si>
    <t>Tổng số trang phần thân (tính vào 20–60)</t>
  </si>
  <si>
    <t>Đánh giá</t>
  </si>
  <si>
    <t>Review API (chỉ người đã mua, 1–5 sao) + Wishlist API</t>
  </si>
  <si>
    <t>/reviews, /wishlist</t>
  </si>
  <si>
    <t>feature/review-wishlist</t>
  </si>
  <si>
    <t>T29</t>
  </si>
  <si>
    <t>Admin Order API (lọc, đổi trạng thái, xác nhận thanh toán) + User API (khóa/mở, đổi quyền)</t>
  </si>
  <si>
    <t>/admin/orders, /admin/users</t>
  </si>
  <si>
    <t>feature/admin-order-api</t>
  </si>
  <si>
    <t>T30</t>
  </si>
  <si>
    <t>Phần / Chương</t>
  </si>
  <si>
    <t>Nội dung chính</t>
  </si>
  <si>
    <t>Số trang mục tiêu</t>
  </si>
  <si>
    <t>Tính vào 20–60 trang?</t>
  </si>
  <si>
    <t>Trang giỏ hàng: sửa số lượng, mã giảm giá, tổng tiền realtime</t>
  </si>
  <si>
    <t>pages/cart.html</t>
  </si>
  <si>
    <t>feature/fe-cart</t>
  </si>
  <si>
    <t>Trang bìa</t>
  </si>
  <si>
    <t>Logo, tên trường/Khoa, đề tài, GV hướng dẫn, 3 thành viên (theo sheet 'Thông tin bìa')</t>
  </si>
  <si>
    <t>T31</t>
  </si>
  <si>
    <t>Không</t>
  </si>
  <si>
    <t>Chưa viết</t>
  </si>
  <si>
    <t>Lời cảm ơn, nhận xét GV, mục lục, danh mục hình/bảng, từ viết tắt</t>
  </si>
  <si>
    <t>Theo template Khoa</t>
  </si>
  <si>
    <t>Trang checkout (địa chỉ, phương thức thanh toán) + trang QR (hiển thị QR, đếm ngược, polling trạng thái)</t>
  </si>
  <si>
    <t>pages/checkout.html, payment-qr.html</t>
  </si>
  <si>
    <t>Mở đầu</t>
  </si>
  <si>
    <t>T25, T26</t>
  </si>
  <si>
    <t>feature/fe-checkout</t>
  </si>
  <si>
    <t>Lý do chọn đề tài, mục tiêu, phạm vi, bố cục báo cáo</t>
  </si>
  <si>
    <t>Có</t>
  </si>
  <si>
    <t>T41</t>
  </si>
  <si>
    <t>Chương 1. Tổng quan đề tài &amp; phân tích yêu cầu</t>
  </si>
  <si>
    <t>Khảo sát CellphoneS, yêu cầu chức năng/phi chức năng, use case</t>
  </si>
  <si>
    <t>VIDEO THUYẾT TRÌNH – KỊCH BẢN BẤM GIỜ (tối đa 20 phút)</t>
  </si>
  <si>
    <t>Bắt buộc: lý thuyết + kiến trúc + giải thích code + demo; cả 3 thành viên cùng thuyết trình. Ô xanh dương = số phút, có thể sửa.</t>
  </si>
  <si>
    <t>Trang tài khoản: hồ sơ, địa chỉ, lịch sử đơn, hủy đơn, đánh giá, yêu thích</t>
  </si>
  <si>
    <t>Chương 2. Cơ sở lý thuyết REST</t>
  </si>
  <si>
    <t>pages/account.html</t>
  </si>
  <si>
    <t>Tổng thời lượng (phút)</t>
  </si>
  <si>
    <t>Nguyên tắc REST (client-server, stateless, cacheable, layered, uniform interface, resource representation, HATEOAS); HTTP methods GET/POST/PUT/PATCH/DELETE ↔ CRUD; safe/idempotent; status code; bảng ánh xạ endpoint TechStore</t>
  </si>
  <si>
    <t>T25, T28</t>
  </si>
  <si>
    <t>feature/fe-account</t>
  </si>
  <si>
    <t>Chương 3. Bảo mật API &amp; so sánh kiến trúc</t>
  </si>
  <si>
    <t>JWT, OAuth 2.0 (authorization code + PKCE), API key/Basic/session, HMAC webhook, OWASP API Top 10; REST vs GraphQL vs SOAP kèm số liệu thực nghiệm</t>
  </si>
  <si>
    <t>T46</t>
  </si>
  <si>
    <t>Chương 4. Thiết kế hệ thống</t>
  </si>
  <si>
    <t>Kiến trúc, ERD, thiết kế API, luồng QR, thuật toán gợi ý và đánh giá</t>
  </si>
  <si>
    <t>Chương 2: Cơ sở lý thuyết REST (nguyên tắc stateless, resource, uniform interface, cacheable, layered; HTTP methods GET/POST/PUT/PATCH/DELETE ↔ CRUD; safe/idempotent; status code) + bảng ví dụ request/response và bảng ánh xạ endpoint của TechStore</t>
  </si>
  <si>
    <t>Chương 2 (~7 trang)</t>
  </si>
  <si>
    <t>Chương 5. Cài đặt, kiểm thử &amp; demo</t>
  </si>
  <si>
    <t>Giao diện khách/admin, Postman, test case, kết quả</t>
  </si>
  <si>
    <t>Chương 6. Kết luận &amp; hướng phát triển</t>
  </si>
  <si>
    <t>Kết quả đạt được, hạn chế, hướng phát triển</t>
  </si>
  <si>
    <t>Đề bài: nguyên tắc REST + HTTP methods ↔ CRUD. Bảng ánh xạ endpoint lấy từ T74</t>
  </si>
  <si>
    <t>T55</t>
  </si>
  <si>
    <t>Tài liệu tham khảo</t>
  </si>
  <si>
    <t>Theo chuẩn trích dẫn của Khoa</t>
  </si>
  <si>
    <t>Dự phòng so với 20 phút</t>
  </si>
  <si>
    <t>Phụ lục</t>
  </si>
  <si>
    <t>ERD đầy đủ, danh sách API, test case, bảng đóng góp từng thành viên, hướng dẫn cài đặt</t>
  </si>
  <si>
    <t>Chương 3: Bảo mật API (JWT, OAuth 2.0 authorization code + PKCE, API key/Basic/session, HMAC webhook, OWASP API Top 10) + so sánh REST vs GraphQL vs SOAP kèm số liệu thực nghiệm (từ T72)</t>
  </si>
  <si>
    <t>Chương 3 (~7 trang)</t>
  </si>
  <si>
    <t>Phần</t>
  </si>
  <si>
    <t>Nội dung</t>
  </si>
  <si>
    <t>Người trình bày</t>
  </si>
  <si>
    <t>Phút</t>
  </si>
  <si>
    <t>Đề bài: bảo mật + so sánh. AI soạn nháp, tự sửa cho khớp code. Bổ sung số liệu thực nghiệm từ T72</t>
  </si>
  <si>
    <t>Bắt đầu (phút thứ)</t>
  </si>
  <si>
    <t>T73</t>
  </si>
  <si>
    <t>Loại nội dung</t>
  </si>
  <si>
    <t>Giới thiệu nhóm, đề tài TechStore, bố cục video</t>
  </si>
  <si>
    <t>Postman folder 'Demo bảo mật' cho video: không token → 401; user thường gọi API admin → 403; token hết hạn → 401; refresh token; token sai chữ ký</t>
  </si>
  <si>
    <t>Folder Postman Demo bảo mật</t>
  </si>
  <si>
    <t>Giới thiệu</t>
  </si>
  <si>
    <t>Lý thuyết REST</t>
  </si>
  <si>
    <t>Nguyên tắc REST (stateless, uniform interface…), HTTP methods &amp; CRUD, status code</t>
  </si>
  <si>
    <t>T11, T15</t>
  </si>
  <si>
    <t>Đề bài: bảo mật API bằng JWT + gọi bằng Postman</t>
  </si>
  <si>
    <t>T33</t>
  </si>
  <si>
    <t>Lý thuyết</t>
  </si>
  <si>
    <t>Bảo mật &amp; so sánh</t>
  </si>
  <si>
    <t>JWT, OAuth 2.0; so sánh REST vs GraphQL vs SOAP (kèm số liệu thực nghiệm)</t>
  </si>
  <si>
    <t>Admin stats API: doanh thu theo ngày/tháng, top bán chạy, tồn kho thấp, đơn theo trạng thái</t>
  </si>
  <si>
    <t>/admin/stats</t>
  </si>
  <si>
    <t>Kiến trúc hệ thống</t>
  </si>
  <si>
    <t>feature/admin-stats</t>
  </si>
  <si>
    <t>Sơ đồ Front-end ↔ REST API ↔ MySQL, Router/MVC, ERD, luồng thanh toán QR</t>
  </si>
  <si>
    <t>T34</t>
  </si>
  <si>
    <t>Kiến trúc</t>
  </si>
  <si>
    <t>Giải thích code – Auth, Order, QR</t>
  </si>
  <si>
    <t>JwtService, middleware phân quyền, tạo đơn (transaction), QrService</t>
  </si>
  <si>
    <t>Giải thích code</t>
  </si>
  <si>
    <t>Bảo mật</t>
  </si>
  <si>
    <t>Audit log (ghi hành động admin) + webhook giả lập xác nhận thanh toán QR (ký HMAC)</t>
  </si>
  <si>
    <t>Giải thích code – Sản phẩm &amp; gợi ý</t>
  </si>
  <si>
    <t>/payments/webhook + bảng audit_logs</t>
  </si>
  <si>
    <t>Lọc/tìm/phân trang, cosine similarity, co-occurrence, điểm cá nhân hóa</t>
  </si>
  <si>
    <t>Giải thích code – Front-end</t>
  </si>
  <si>
    <t>feature/payment-webhook</t>
  </si>
  <si>
    <t>api.js (gắn JWT, refresh token), render động, trang QR polling</t>
  </si>
  <si>
    <t>Đề bài: cơ chế xác thực khác (HMAC ký webhook)</t>
  </si>
  <si>
    <t>T35</t>
  </si>
  <si>
    <t>Demo khách hàng</t>
  </si>
  <si>
    <t>Đăng ký → tìm/lọc → chi tiết + gợi ý → giỏ → thanh toán QR → theo dõi đơn</t>
  </si>
  <si>
    <t>Demo</t>
  </si>
  <si>
    <t>Demo quản trị</t>
  </si>
  <si>
    <t>Dashboard, CRUD sản phẩm, xử lý đơn, xác nhận thanh toán</t>
  </si>
  <si>
    <t>Content-based: vector đặc trưng (danh mục, hãng, giá, RAM, ROM, màn hình) + cosine similarity → bảng product_similarity (script CLI)</t>
  </si>
  <si>
    <t>scripts/build_similarity.php</t>
  </si>
  <si>
    <t>Đăng nhập lấy JWT, gọi endpoint có/không token (401/403), token hết hạn/refresh, CRUD</t>
  </si>
  <si>
    <t>Kết luận</t>
  </si>
  <si>
    <t>Kết quả, hạn chế, hướng phát triển, cảm ơn</t>
  </si>
  <si>
    <t>T36</t>
  </si>
  <si>
    <t>Số phút</t>
  </si>
  <si>
    <t>Số phần</t>
  </si>
  <si>
    <t>Mua cùng nhau: co-occurrence từ order_items (support/confidence) + API /products/{id}/recommendations</t>
  </si>
  <si>
    <t>/products/{id}/recommendations</t>
  </si>
  <si>
    <t>T25, T35</t>
  </si>
  <si>
    <t>T37</t>
  </si>
  <si>
    <t>Admin layout (sidebar, auth guard role=admin) + Dashboard (biểu đồ doanh thu, top sản phẩm – canvas/Chart.js nếu được phép)</t>
  </si>
  <si>
    <t>admin/index.html</t>
  </si>
  <si>
    <t>feature/admin-ui</t>
  </si>
  <si>
    <t>T38</t>
  </si>
  <si>
    <t>Kiểm tra thành viên</t>
  </si>
  <si>
    <t>Admin: quản lý sản phẩm (bảng, form thêm/sửa, upload ảnh có preview)</t>
  </si>
  <si>
    <t>admin/products.html</t>
  </si>
  <si>
    <t>T39</t>
  </si>
  <si>
    <t>YÊU CẦU KỸ THUẬT KHI QUAY</t>
  </si>
  <si>
    <t>Mỗi người tự quay phần của mình (hoặc họp Meet/Zoom và ghi hình) rồi dựng ghép; quay thử 1 lần trước.</t>
  </si>
  <si>
    <t>Âm thanh: dùng mic rời/tai nghe có mic, phòng yên tĩnh, tắt thông báo; nói chậm, rõ.</t>
  </si>
  <si>
    <t>Hình ảnh: độ phân giải ≥ 1080p; phóng to chữ trong IDE (≥ 16pt) và trình duyệt (Ctrl +); ẩn thông tin cá nhân/tab không liên quan.</t>
  </si>
  <si>
    <t>Có hình mặt hoặc tên người nói ở đầu mỗi phần để giám khảo thấy rõ cả 3 thành viên tham gia.</t>
  </si>
  <si>
    <t>Chạy sẵn dữ liệu demo (seed) và một bản ghi hình dự phòng cho phần demo phòng khi lỗi mạng.</t>
  </si>
  <si>
    <t>Xuất MP4 (H.264), kiểm tra lại toàn bộ video và thời lượng thực tế ≤ 20 phút trước khi nộp.</t>
  </si>
  <si>
    <t>Cá nhân hóa: điểm = α·content + β·co-occurrence + γ·popularity; xử lý cold-start; API /recommendations/me</t>
  </si>
  <si>
    <t>/recommendations/me</t>
  </si>
  <si>
    <t>T35, T36, T32</t>
  </si>
  <si>
    <t>T40</t>
  </si>
  <si>
    <t>THÔNG TIN TRANG BÌA BÁO CÁO – KIỂM TRA CHÉO (tránh sai logo, tên GV, thành viên)</t>
  </si>
  <si>
    <t>Nền vàng = ô cần điền. Hàng ví dụ ở dòng 6 chỉ để minh họa – xóa khi điền thật. Mỗi mục cần 2 người kiểm tra chéo trước khi nộp.</t>
  </si>
  <si>
    <t>Carousel gợi ý (Tương tự / Mua cùng / Dành cho bạn) ở trang chi tiết, trang chủ, giỏ hàng</t>
  </si>
  <si>
    <t>Thông tin trên bìa</t>
  </si>
  <si>
    <t>component recommend.js</t>
  </si>
  <si>
    <t>Giá trị (điền)</t>
  </si>
  <si>
    <t>Nguồn xác nhận</t>
  </si>
  <si>
    <t>Người kiểm tra 1</t>
  </si>
  <si>
    <t>Người kiểm tra 2</t>
  </si>
  <si>
    <t>Kết quả</t>
  </si>
  <si>
    <t>Ví dụ</t>
  </si>
  <si>
    <t>feature/fe-recommend</t>
  </si>
  <si>
    <t>Giảng viên hướng dẫn</t>
  </si>
  <si>
    <t>T42</t>
  </si>
  <si>
    <t>ThS. Nguyễn Văn A (VÍ DỤ – xóa dòng này)</t>
  </si>
  <si>
    <t>Email/Phiếu giao đề của GV</t>
  </si>
  <si>
    <t>Đã đúng</t>
  </si>
  <si>
    <t>Admin: quản lý đơn hàng (đổi trạng thái, xác nhận thanh toán, in hóa đơn)</t>
  </si>
  <si>
    <t>admin/orders.html</t>
  </si>
  <si>
    <t>Tên trường / Đại học</t>
  </si>
  <si>
    <t>(điền đúng theo template)</t>
  </si>
  <si>
    <t>Template Khoa</t>
  </si>
  <si>
    <t>Tên Khoa</t>
  </si>
  <si>
    <t>T43</t>
  </si>
  <si>
    <t>Logo</t>
  </si>
  <si>
    <t>Dùng đúng file logo chính thức trong template của Khoa (không tự tìm trên mạng)</t>
  </si>
  <si>
    <t>Tên học phần / môn học</t>
  </si>
  <si>
    <t>(điền)</t>
  </si>
  <si>
    <t>Phiếu giao đề / GV</t>
  </si>
  <si>
    <t>Tích hợp</t>
  </si>
  <si>
    <t>Tích hợp end-to-end, sửa bug; rate limiting; OAuth 2.0 Google login (tùy chọn – làm demo cho phần OAuth)</t>
  </si>
  <si>
    <t>develop ổn định + /auth/google (tùy chọn)</t>
  </si>
  <si>
    <t>Tên đề tài</t>
  </si>
  <si>
    <t>(xác nhận với GV) – bản nháp: Xây dựng website thương mại điện tử đồ công nghệ TechStore ứng dụng RESTful API (JWT, thanh toán QR, gợi ý sản phẩm)</t>
  </si>
  <si>
    <t>GV hướng dẫn</t>
  </si>
  <si>
    <t>feature/integration</t>
  </si>
  <si>
    <t>Đề bài: OAuth 2.0. Làm cuối ngày 3; FEATURE FREEZE sau việc này</t>
  </si>
  <si>
    <t>T45</t>
  </si>
  <si>
    <t>Giảng viên hướng dẫn (họ tên đầy đủ, học hàm/học vị)</t>
  </si>
  <si>
    <t>Lớp / Nhóm</t>
  </si>
  <si>
    <t>Danh sách lớp</t>
  </si>
  <si>
    <t>Mã nguồn</t>
  </si>
  <si>
    <t>Chuẩn hóa quản lý thư viện: composer.json (+ composer.lock) hoặc ghi rõ không dùng thư viện ngoài; đặt thư viện JS (nếu có) vào public/assets/vendor để chạy offline; cập nhật .env.example; thử cài mới trên thư mục sạch</t>
  </si>
  <si>
    <t>composer.json/lock + .env.example</t>
  </si>
  <si>
    <t>feature/dependencies</t>
  </si>
  <si>
    <t>T47</t>
  </si>
  <si>
    <t>Thành viên 1 – Trưởng nhóm</t>
  </si>
  <si>
    <t>Hữu Nam – ghi họ tên đầy đủ đúng giấy tờ – MSSV: (điền)</t>
  </si>
  <si>
    <t>Thẻ sinh viên</t>
  </si>
  <si>
    <t>Admin: người dùng, mã giảm giá, banner</t>
  </si>
  <si>
    <t>admin/users.html, coupons.html</t>
  </si>
  <si>
    <t>Thành viên 2</t>
  </si>
  <si>
    <t>Kiệt – ghi họ tên đầy đủ đúng giấy tờ – MSSV: (điền)</t>
  </si>
  <si>
    <t>Thành viên 3</t>
  </si>
  <si>
    <t>Thành Trung – ghi họ tên đầy đủ đúng giấy tờ – MSSV: (điền)</t>
  </si>
  <si>
    <t>T51</t>
  </si>
  <si>
    <t>Học kỳ / năm học</t>
  </si>
  <si>
    <t>Địa điểm, tháng/năm nộp</t>
  </si>
  <si>
    <t>Rà soát bảo mật: SQLi, XSS, IDOR, upload file, phân quyền JWT; sửa lỗi</t>
  </si>
  <si>
    <t>Checklist bảo mật đã tick</t>
  </si>
  <si>
    <t>fix/security</t>
  </si>
  <si>
    <t>T56</t>
  </si>
  <si>
    <t>Chương 4: Thiết kế hệ thống (kiến trúc, ERD, thiết kế API, luồng thanh toán QR, thuật toán gợi ý + kết quả đánh giá precision@k)</t>
  </si>
  <si>
    <t>Chương 4 (~9 trang)</t>
  </si>
  <si>
    <t>T39, T04</t>
  </si>
  <si>
    <t>T57</t>
  </si>
  <si>
    <t>Video</t>
  </si>
  <si>
    <t>Kịch bản video ≤ 20 phút: phân đoạn, người trình bày, thời lượng từng phần (sheet 'Video'); đảm bảo đủ lý thuyết, kiến trúc, giải thích code, demo và cả 3 thành viên cùng nói</t>
  </si>
  <si>
    <t>Kịch bản + bảng bấm giờ</t>
  </si>
  <si>
    <t>docs/video</t>
  </si>
  <si>
    <t>T71</t>
  </si>
  <si>
    <t>REST nâng cao (điểm cộng): ETag/Cache-Control cho GET /products (cacheable), Link/HATEOAS cơ bản trong response, chuẩn lỗi thống nhất (RFC 7807), header phiên bản API</t>
  </si>
  <si>
    <t>Header ETag/Cache-Control + links trong JSON</t>
  </si>
  <si>
    <t>T13, T14</t>
  </si>
  <si>
    <t>feature/rest-advanced</t>
  </si>
  <si>
    <t>Đề bài: "explore more" – minh họa cacheable, layered, HATEOAS</t>
  </si>
  <si>
    <t>T72</t>
  </si>
  <si>
    <t>So sánh thực nghiệm REST vs GraphQL vs SOAP: endpoint /graphql mini (AI sinh) cho cùng 1 truy vấn sản phẩm + danh mục; đo số request và dung lượng payload; ví dụ SOAP envelope để đối chiếu</t>
  </si>
  <si>
    <t>/graphql (demo) + bảng số liệu cho Chương 3</t>
  </si>
  <si>
    <t>feature/api-comparison</t>
  </si>
  <si>
    <t>Đề bài: so sánh REST với GraphQL/SOAP – có số liệu để lấy điểm cao</t>
  </si>
  <si>
    <t>T74</t>
  </si>
  <si>
    <t>Method</t>
  </si>
  <si>
    <t>Endpoint (/api/v1)</t>
  </si>
  <si>
    <t>Mô tả</t>
  </si>
  <si>
    <t>Quyền</t>
  </si>
  <si>
    <t>HTTP thành công</t>
  </si>
  <si>
    <t>Swagger UI/Redoc tại /docs đọc openapi.yaml + bảng ánh xạ endpoint ↔ HTTP method ↔ CRUD ↔ status code (lấy từ sheet 'API List') cho Chương 2/Phụ lục</t>
  </si>
  <si>
    <t>/docs + bảng ánh xạ</t>
  </si>
  <si>
    <t>POST</t>
  </si>
  <si>
    <t>/auth/register</t>
  </si>
  <si>
    <t>Đăng ký tài khoản</t>
  </si>
  <si>
    <t>Public</t>
  </si>
  <si>
    <t>201</t>
  </si>
  <si>
    <t>Đề bài: HTTP methods ↔ CRUD; tài liệu API cho người dùng/giảng viên</t>
  </si>
  <si>
    <t>T44</t>
  </si>
  <si>
    <t>/auth/login</t>
  </si>
  <si>
    <t>Đăng nhập, trả access + refresh token</t>
  </si>
  <si>
    <t>200</t>
  </si>
  <si>
    <t>Hoàn thiện openapi.yaml + Postman collection đầy đủ + script test</t>
  </si>
  <si>
    <t>docs/openapi.yaml v1.0, collection v3</t>
  </si>
  <si>
    <t>/auth/refresh</t>
  </si>
  <si>
    <t>Cấp lại access token</t>
  </si>
  <si>
    <t>/auth/logout</t>
  </si>
  <si>
    <t>T48</t>
  </si>
  <si>
    <t>Thu hồi refresh token</t>
  </si>
  <si>
    <t>Customer</t>
  </si>
  <si>
    <t>204</t>
  </si>
  <si>
    <t>Kiểm thử</t>
  </si>
  <si>
    <t>UAT luồng khách hàng (đăng ký → tìm → giỏ → QR → theo dõi đơn): ≥15 test case, ghi bug log</t>
  </si>
  <si>
    <t>tests/test_cases.xlsx / bug log</t>
  </si>
  <si>
    <t>GET</t>
  </si>
  <si>
    <t>/auth/me</t>
  </si>
  <si>
    <t>Thông tin người dùng hiện tại</t>
  </si>
  <si>
    <t>/products</t>
  </si>
  <si>
    <t>T49</t>
  </si>
  <si>
    <t>Danh sách + lọc/tìm/sắp xếp/phân trang</t>
  </si>
  <si>
    <t>/products/{id}</t>
  </si>
  <si>
    <t>Chi tiết sản phẩm</t>
  </si>
  <si>
    <t>Chạy Postman Collection Runner toàn bộ API + test luồng admin: ≥15 test case</t>
  </si>
  <si>
    <t>Báo cáo Postman + bug log</t>
  </si>
  <si>
    <t>Tạo sản phẩm (kèm upload ảnh)</t>
  </si>
  <si>
    <t>PUT</t>
  </si>
  <si>
    <t>Cập nhật toàn bộ sản phẩm</t>
  </si>
  <si>
    <t>T50</t>
  </si>
  <si>
    <t>PATCH</t>
  </si>
  <si>
    <t>Cập nhật một phần (giá, tồn kho, ẩn/hiện)</t>
  </si>
  <si>
    <t>Test giao diện: responsive, trình duyệt khác nhau, validate form: ≥10 test case</t>
  </si>
  <si>
    <t>Bug log UI</t>
  </si>
  <si>
    <t>DELETE</t>
  </si>
  <si>
    <t>Xóa (soft delete) sản phẩm</t>
  </si>
  <si>
    <t>/categories</t>
  </si>
  <si>
    <t>Danh sách danh mục</t>
  </si>
  <si>
    <t>T52</t>
  </si>
  <si>
    <t>/brands</t>
  </si>
  <si>
    <t>Danh sách thương hiệu</t>
  </si>
  <si>
    <t>Sửa lỗi</t>
  </si>
  <si>
    <t>Sửa bug back-end theo bug log (ưu tiên cao trước)</t>
  </si>
  <si>
    <t>POST/PUT/DELETE</t>
  </si>
  <si>
    <t>Bug BE đóng</t>
  </si>
  <si>
    <t>/categories, /brands</t>
  </si>
  <si>
    <t>CRUD danh mục &amp; hãng</t>
  </si>
  <si>
    <t>201/200/204</t>
  </si>
  <si>
    <t>T48, T49</t>
  </si>
  <si>
    <t>fix/backend</t>
  </si>
  <si>
    <t>/cart</t>
  </si>
  <si>
    <t>Xem giỏ hàng</t>
  </si>
  <si>
    <t>T53</t>
  </si>
  <si>
    <t>/cart/items</t>
  </si>
  <si>
    <t>Thêm sản phẩm vào giỏ</t>
  </si>
  <si>
    <t>/cart/items/{id}</t>
  </si>
  <si>
    <t>Sửa bug UI theo bug log</t>
  </si>
  <si>
    <t>Bug FE đóng</t>
  </si>
  <si>
    <t>Đổi số lượng</t>
  </si>
  <si>
    <t>fix/frontend</t>
  </si>
  <si>
    <t>Xóa khỏi giỏ</t>
  </si>
  <si>
    <t>T58</t>
  </si>
  <si>
    <t>Kiểm tra mã giảm giá</t>
  </si>
  <si>
    <t>Code freeze; merge develop → main; gắn tag v1.0.0</t>
  </si>
  <si>
    <t>Tạo đơn từ giỏ hàng</t>
  </si>
  <si>
    <t>Tag v1.0.0 trên main</t>
  </si>
  <si>
    <t>Lịch sử đơn của tôi</t>
  </si>
  <si>
    <t>T52, T53</t>
  </si>
  <si>
    <t>main</t>
  </si>
  <si>
    <t>/orders/{id}</t>
  </si>
  <si>
    <t>T59</t>
  </si>
  <si>
    <t>Chi tiết đơn</t>
  </si>
  <si>
    <t>Customer/Admin</t>
  </si>
  <si>
    <t>/orders/{id}/cancel</t>
  </si>
  <si>
    <t>Hủy đơn khi chưa xử lý</t>
  </si>
  <si>
    <t>Readme</t>
  </si>
  <si>
    <t>Hoàn thiện Readme.md: yêu cầu hệ thống, thiết lập môi trường, cài CSDL, lệnh chạy, tài khoản admin/khách, xử lý lỗi thường gặp (xem README.md mẫu)</t>
  </si>
  <si>
    <t>Readme.md đầy đủ</t>
  </si>
  <si>
    <t>Sinh mã QR VietQR cho đơn</t>
  </si>
  <si>
    <t>/payments/{orderId}/status</t>
  </si>
  <si>
    <t>Theo dõi trạng thái thanh toán</t>
  </si>
  <si>
    <t>/payments/webhook</t>
  </si>
  <si>
    <t>Webhook xác nhận thanh toán (ký HMAC)</t>
  </si>
  <si>
    <t>Hệ thống</t>
  </si>
  <si>
    <t>/orders/{id}/status</t>
  </si>
  <si>
    <t>Đổi trạng thái đơn / xác nhận thanh toán</t>
  </si>
  <si>
    <t>docs/final</t>
  </si>
  <si>
    <t>GET/PATCH</t>
  </si>
  <si>
    <t>/admin/users</t>
  </si>
  <si>
    <t>Danh sách, khóa/mở, đổi quyền</t>
  </si>
  <si>
    <t>/products/{id}/reviews</t>
  </si>
  <si>
    <t>Viết đánh giá (đã mua)</t>
  </si>
  <si>
    <t>Danh sách đánh giá</t>
  </si>
  <si>
    <t>T60</t>
  </si>
  <si>
    <t>GET/POST/DELETE</t>
  </si>
  <si>
    <t>/wishlist</t>
  </si>
  <si>
    <t>Sản phẩm yêu thích</t>
  </si>
  <si>
    <t>200/201/204</t>
  </si>
  <si>
    <t>Ghi nhận lượt xem sản phẩm</t>
  </si>
  <si>
    <t>Rủi ro</t>
  </si>
  <si>
    <t>202</t>
  </si>
  <si>
    <t>Xác suất</t>
  </si>
  <si>
    <t>Tác động</t>
  </si>
  <si>
    <t>Biện pháp giảm thiểu</t>
  </si>
  <si>
    <t>Người phụ trách</t>
  </si>
  <si>
    <t>Sản phẩm tương tự / mua cùng</t>
  </si>
  <si>
    <t>Xung đột code khi nhiều người sửa file chung (routes.php, schema.sql)</t>
  </si>
  <si>
    <t>Gợi ý cá nhân hóa</t>
  </si>
  <si>
    <t>Mỗi việc một nhánh feature; chia file route theo module; báo nhóm trước khi sửa file chung; rebase hằng ngày</t>
  </si>
  <si>
    <t>FE và BE lệch hợp đồng API, phải làm lại</t>
  </si>
  <si>
    <t>Chốt openapi.yaml từ ngày 1; FE dùng dữ liệu mock theo OpenAPI khi BE chưa xong</t>
  </si>
  <si>
    <t>Slide cho video: lý thuyết REST/JWT, kiến trúc, ERD, thuật toán gợi ý, thứ tự chuyển cảnh</t>
  </si>
  <si>
    <t>docs/slides.pptx</t>
  </si>
  <si>
    <t>Thống kê dashboard</t>
  </si>
  <si>
    <t>Thuật toán gợi ý không kịp/không hiệu quả do ít dữ liệu</t>
  </si>
  <si>
    <t>Seed ≥30 đơn mẫu; làm content-based trước (đơn giản, ổn định), co-occurrence sau; có cold-start fallback</t>
  </si>
  <si>
    <t>Tích hợp QR/thanh toán phụ thuộc dịch vụ ngoài</t>
  </si>
  <si>
    <t>/admin/audit-logs</t>
  </si>
  <si>
    <t>Nhật ký hoạt động admin</t>
  </si>
  <si>
    <t>Dùng URL ảnh VietQR (không cần API key) + xác nhận thủ công/webhook giả lập; có video demo dự phòng</t>
  </si>
  <si>
    <t>T55, T56</t>
  </si>
  <si>
    <t>Lỗ hổng bảo mật (SQLi, XSS, IDOR, lộ JWT secret)</t>
  </si>
  <si>
    <t>docs/demo</t>
  </si>
  <si>
    <t>/auth/google</t>
  </si>
  <si>
    <t>Đăng nhập OAuth 2.0 Google (tùy chọn)</t>
  </si>
  <si>
    <t>PDO prepared statements 100%; escape output; kiểm tra quyền sở hữu tài nguyên; .env không commit; rà soát bảo mật ngày 3 (T51), sửa lỗi ngày 4 (kèm nhờ AI review theo OWASP)</t>
  </si>
  <si>
    <t>Thành viên ốm/vắng mặt, trễ tiến độ</t>
  </si>
  <si>
    <t>Buffer: nửa cuối ngày 4; stand-up hằng ngày; việc quan trọng có người review đã nắm; nếu trễ làm sau cùng các việc ưu tiên TB (OAuth Google, T71, T72, T74) rồi bù ở ngày 4</t>
  </si>
  <si>
    <t>T61</t>
  </si>
  <si>
    <t>Scope creep – thêm tính năng ngoài kế hoạch</t>
  </si>
  <si>
    <t>Chỉ thêm khi xong việc 'Cao'; mọi thay đổi ghi vào Backlog và được leader duyệt</t>
  </si>
  <si>
    <t>Môi trường mỗi máy khác nhau (phiên bản PHP/MySQL)</t>
  </si>
  <si>
    <t>Thống nhất PHP 8.x, MySQL 8; hướng dẫn cài trong README; dùng schema.sql + seed.sql chung</t>
  </si>
  <si>
    <t>Essay thiếu thời gian vì dồn cuối</t>
  </si>
  <si>
    <t>DEFINITION OF DONE – một nhiệm vụ chỉ được 'Hoàn thành' khi:</t>
  </si>
  <si>
    <t>Dàn ý ngày 1; viết chương lý thuyết sớm (ngày 1–2), các chương còn lại ngay khi xong phần code tương ứng (ngày 3–4) nhờ AI soạn nháp rồi tự sửa; cuối ngày 4 chỉ hiệu đính</t>
  </si>
  <si>
    <t>Báo cáo sai thông tin bìa (logo, tên GV, thành viên) hoặc không bám template Khoa</t>
  </si>
  <si>
    <t>Xác nhận thông tin bìa với GV ngày 1; điền sheet 'Thông tin bìa'; kiểm tra chéo bởi ≥ 2 người trên cả Word và PDF</t>
  </si>
  <si>
    <t>Báo cáo ngoài khoảng 20–60 trang (không tính bìa &amp; phụ lục)</t>
  </si>
  <si>
    <t>Đóng gói bài nộp: báo cáo (Word + PDF), source code (zip kèm file thư viện), video (mp4 ≤ 20 phút), Readme.md; tick toàn bộ sheet 'Checklist nộp bài'; retrospective</t>
  </si>
  <si>
    <t>Gói nộp hoàn chỉnh</t>
  </si>
  <si>
    <t>Theo bảng phân bổ trang (sheet 'Báo cáo'); kiểm tra số trang khi ghép; chuyển phần thừa vào phụ lục</t>
  </si>
  <si>
    <t>Video vượt 20 phút, thiếu thành viên hoặc âm thanh/hình ảnh kém</t>
  </si>
  <si>
    <t>Kịch bản bấm giờ (sheet 'Video'); quay thử; mic rời, phòng yên tĩnh; kiểm tra toàn bộ video trước khi nộp</t>
  </si>
  <si>
    <t>☐</t>
  </si>
  <si>
    <t>Giáo viên không chạy được source (thiếu extension/thư viện/CSDL)</t>
  </si>
  <si>
    <t>T64, T69, T70</t>
  </si>
  <si>
    <t>Readme chi tiết + yêu cầu hệ thống; composer.json/lock hoặc thư viện đóng gói sẵn; seed.sql; chạy thử trên máy sạch ngày 4</t>
  </si>
  <si>
    <t>Code chạy được trên local, không lỗi PHP (error_log) và không lỗi console JS</t>
  </si>
  <si>
    <t>Code do AI sinh nhưng thành viên không hiểu → không giải thích được khi quay video/bảo vệ; AI sinh code sai logic hoặc hở bảo mật</t>
  </si>
  <si>
    <t>Đã test endpoint/giao diện bằng Postman hoặc thao tác thật, kèm test case thành công + thất bại</t>
  </si>
  <si>
    <t>Mỗi người đọc và tự giải thích được code phần mình (nhờ AI giải thích từng đoạn); review PR chéo; chạy Postman trước khi merge; dán CONTEXT.md vào mọi prompt; không dán secret thật cho AI</t>
  </si>
  <si>
    <t>Đã mở Pull Request vào develop, có ≥1 người review và đã xử lý comment</t>
  </si>
  <si>
    <t>4 ngày quá gấp: khối lượng ~8,5–9,5 giờ/người/ngày, việc báo cáo/video dồn về ngày 3–4</t>
  </si>
  <si>
    <t>Tuân thủ chuẩn code (PSR-12, đặt tên rõ nghĩa), không còn code debug/var_dump</t>
  </si>
  <si>
    <t>Viết chương lý thuyết ngay ngày 1–2; chốt kịch bản video ngày 3; feature freeze cuối ngày 3; code freeze trưa ngày 4; việc ưu tiên TB làm sau cùng; stand-up đầu ngày để chia lại việc</t>
  </si>
  <si>
    <t>Validate input phía server, dùng PDO prepared statements, kiểm tra quyền (role/owner)</t>
  </si>
  <si>
    <t>Cập nhật openapi.yaml / Postman collection nếu thay đổi API</t>
  </si>
  <si>
    <t>T62</t>
  </si>
  <si>
    <t>Không commit .env, mật khẩu, file upload, vendor không cần thiết</t>
  </si>
  <si>
    <t>Cập nhật trạng thái &amp; % hoàn thành trong sheet 'Phân công'</t>
  </si>
  <si>
    <t>DEFINITION OF READY – một nhiệm vụ chỉ bắt đầu khi:</t>
  </si>
  <si>
    <t>Mô tả và sản phẩm bàn giao rõ ràng; có người phụ trách và người review</t>
  </si>
  <si>
    <t>Các nhiệm vụ phụ thuộc đã xong hoặc đã có mock/hợp đồng API</t>
  </si>
  <si>
    <t>Có nhánh Git riêng theo quy ước feature/&lt;tên-việc&gt;</t>
  </si>
  <si>
    <t>NGHI THỨC LÀM VIỆC</t>
  </si>
  <si>
    <t>Chương 5: Cài đặt, kiểm thử &amp; demo (ảnh chụp giao diện khách/admin, Postman, kết quả test case)</t>
  </si>
  <si>
    <t>Stand-up 15 phút lúc 08:30: hôm qua – hôm nay – vướng mắc (nhắn nhóm nếu không họp được)</t>
  </si>
  <si>
    <t>Chương 5 (~8 trang)</t>
  </si>
  <si>
    <t>Cuối ngày 17:30: cập nhật bảng phân công, merge PR đã duyệt, leader kiểm tra develop chạy ổn</t>
  </si>
  <si>
    <t>Checkpoint 1 vào cuối ngày 2 (~50%) và Checkpoint 2 (feature freeze) cuối ngày 3</t>
  </si>
  <si>
    <t>Ngày 4 buổi sáng: chỉ test, sửa lỗi, rà bảo mật – không thêm tính năng mới</t>
  </si>
  <si>
    <t>Ngày 4 trưa: code freeze, tag v1.0.0; chiều: hoàn thiện báo cáo, quay video, đóng gói nộp bài</t>
  </si>
  <si>
    <t>TÀI LIỆU CẦN CÓ KHI NỘP</t>
  </si>
  <si>
    <t>T58, T47</t>
  </si>
  <si>
    <t>Readme.md (yêu cầu hệ thống, cài đặt từng bước, tài khoản admin) · GIT_WORKFLOW.md</t>
  </si>
  <si>
    <t>docs/erd.png, database/schema.sql, database/seed.sql</t>
  </si>
  <si>
    <t>docs/openapi.yaml và Postman collection + environment</t>
  </si>
  <si>
    <t>Báo cáo Word + PDF: 20–60 trang (không tính bìa &amp; phụ lục), đúng template Khoa, bìa chính xác (logo, tên GV, 3 thành viên)</t>
  </si>
  <si>
    <t>Video thuyết trình ≤ 20 phút (đủ 3 thành viên) · Source code kèm file thư viện · Readme.md có tài khoản admin</t>
  </si>
  <si>
    <t>T63</t>
  </si>
  <si>
    <t>QUY TẮC VIBE CODING (làm việc với AI)</t>
  </si>
  <si>
    <t>Mọi prompt đều dán CONTEXT.md (stack, quy ước, định dạng JSON) + phần openapi.yaml / schema.sql liên quan</t>
  </si>
  <si>
    <t>Chia nhỏ yêu cầu: mỗi lần 1 endpoint hoặc 1 trang; chạy thử ngay, có lỗi thì dán nguyên log cho AI</t>
  </si>
  <si>
    <t>Không merge code chưa chạy thử; mỗi nhánh feature chỉ chứa một việc</t>
  </si>
  <si>
    <t>Mỗi người đọc hiểu và giải thích được code phần mình (sẽ phải nói trong video)</t>
  </si>
  <si>
    <t>Luôn yêu cầu AI dùng PDO prepared statements, kiểm tra quyền sở hữu (chống IDOR), không hardcode secret</t>
  </si>
  <si>
    <t>Không dán mật khẩu / khóa thật (.env) cho AI</t>
  </si>
  <si>
    <t>Chương 6: Kết luận, hướng phát triển, tài liệu tham khảo; phụ lục (ERD đầy đủ, danh sách API, test case, bảng đóng góp thành viên)</t>
  </si>
  <si>
    <t>Chương 6 + phụ lục</t>
  </si>
  <si>
    <t>T64</t>
  </si>
  <si>
    <t>Ghép &amp; hiệu đính báo cáo theo template Khoa: mục lục/số trang, hình–bảng có chú thích; kiểm tra 20–60 trang (không tính bìa &amp; phụ lục); kiểm tra chéo trang bìa (logo, tên GV, 3 thành viên); xuất Word + PDF và đối chiếu PDF</t>
  </si>
  <si>
    <t>report.docx + report.pdf</t>
  </si>
  <si>
    <t>T54, T46, T55, T56, T62, T63, T72, T74</t>
  </si>
  <si>
    <t>Ghép cả nội dung từ T72 (so sánh thực nghiệm) và T74 (bảng ánh xạ)</t>
  </si>
  <si>
    <t>T65</t>
  </si>
  <si>
    <t>Dọn mã nguồn sạch: xóa file thừa/debug/backup/log, cấu trúc thư mục gọn, .gitignore, không lộ secret trong .env, kiểm tra lại composer.json</t>
  </si>
  <si>
    <t>Source sạch trên main</t>
  </si>
  <si>
    <t>T66</t>
  </si>
  <si>
    <t>Quay phần của Hữu Nam (mở đầu, JWT/OAuth &amp; so sánh, kiến trúc, code Auth/Order/QR, kết luận ≈ 7,5 phút): quay thử, kiểm tra mic/hình, font IDE ≥ 16pt</t>
  </si>
  <si>
    <t>Bản ghi phần 1</t>
  </si>
  <si>
    <t>T57, T60, T58</t>
  </si>
  <si>
    <t>T67</t>
  </si>
  <si>
    <t>Quay phần của Thành Trung (lý thuyết REST, code sản phẩm + thuật toán gợi ý, demo Postman/JWT ≈ 5,5 phút)</t>
  </si>
  <si>
    <t>Bản ghi phần 2</t>
  </si>
  <si>
    <t>T68</t>
  </si>
  <si>
    <t>Quay phần của Kiệt (code front-end, demo khách hàng &amp; quản trị ≈ 5 phút)</t>
  </si>
  <si>
    <t>Bản ghi phần 3</t>
  </si>
  <si>
    <t>T69</t>
  </si>
  <si>
    <t>Dựng ghép video: ≤ 20 phút, đủ lý thuyết – kiến trúc – giải thích code – demo, cả 3 xuất hiện; kiểm tra âm thanh/hình ảnh toàn bộ; xuất MP4 1080p</t>
  </si>
  <si>
    <t>video.mp4 ≤ 20 phút</t>
  </si>
  <si>
    <t>T66, T67, T68</t>
  </si>
  <si>
    <t>T70</t>
  </si>
  <si>
    <t>Chạy thử trên máy sạch (hoặc máy khác) CHỈ theo Readme.md: cài môi trường, import DB, chạy, đăng nhập admin; ghi lỗi và sửa Readme</t>
  </si>
  <si>
    <t>Xác nhận chạy được từ Readme</t>
  </si>
  <si>
    <t>T59, T65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</si>
</sst>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8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4.0"/>
      <color rgb="FF1F3864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i/>
      <sz val="9.0"/>
      <color rgb="FF595959"/>
      <name val="Arial"/>
    </font>
    <font>
      <sz val="9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FF"/>
      <name val="Arial"/>
    </font>
    <font>
      <u/>
      <sz val="11.0"/>
      <color theme="10"/>
      <name val="Calibri"/>
    </font>
    <font>
      <b/>
      <sz val="12.0"/>
      <color rgb="FF1F3864"/>
      <name val="Arial"/>
    </font>
    <font>
      <color theme="1"/>
      <name val="Calibri"/>
      <scheme val="minor"/>
    </font>
    <font>
      <i/>
      <sz val="10.0"/>
      <color theme="1"/>
      <name val="Arial"/>
    </font>
    <font>
      <b/>
      <sz val="11.0"/>
      <color rgb="FFFFFFFF"/>
      <name val="Arial"/>
    </font>
    <font>
      <i/>
      <sz val="10.0"/>
      <color rgb="FF7F7F7F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3" fillId="0" fontId="9" numFmtId="0" xfId="0" applyBorder="1" applyFont="1"/>
    <xf borderId="1" fillId="0" fontId="8" numFmtId="0" xfId="0" applyAlignment="1" applyBorder="1" applyFont="1">
      <alignment horizontal="center" shrinkToFit="0" vertical="top" wrapText="1"/>
    </xf>
    <xf borderId="4" fillId="0" fontId="9" numFmtId="0" xfId="0" applyBorder="1" applyFont="1"/>
    <xf borderId="2" fillId="4" fontId="10" numFmtId="164" xfId="0" applyAlignment="1" applyBorder="1" applyFill="1" applyFont="1" applyNumberFormat="1">
      <alignment horizontal="left" shrinkToFit="0" vertical="bottom" wrapText="0"/>
    </xf>
    <xf borderId="1" fillId="0" fontId="8" numFmtId="164" xfId="0" applyAlignment="1" applyBorder="1" applyFont="1" applyNumberFormat="1">
      <alignment horizontal="center" shrinkToFit="0" vertical="top" wrapText="1"/>
    </xf>
    <xf borderId="2" fillId="0" fontId="8" numFmtId="164" xfId="0" applyAlignment="1" applyBorder="1" applyFont="1" applyNumberFormat="1">
      <alignment horizontal="left" shrinkToFit="0" vertical="bottom" wrapText="0"/>
    </xf>
    <xf borderId="1" fillId="0" fontId="8" numFmtId="0" xfId="0" applyAlignment="1" applyBorder="1" applyFont="1">
      <alignment shrinkToFit="0" vertical="top" wrapText="1"/>
    </xf>
    <xf borderId="0" fillId="0" fontId="7" numFmtId="9" xfId="0" applyAlignment="1" applyFont="1" applyNumberFormat="1">
      <alignment horizontal="left" shrinkToFit="0" vertical="bottom" wrapText="0"/>
    </xf>
    <xf borderId="1" fillId="0" fontId="10" numFmtId="165" xfId="0" applyAlignment="1" applyBorder="1" applyFont="1" applyNumberFormat="1">
      <alignment horizontal="center" shrinkToFit="0" vertical="top" wrapText="1"/>
    </xf>
    <xf borderId="1" fillId="0" fontId="8" numFmtId="0" xfId="0" applyAlignment="1" applyBorder="1" applyFont="1">
      <alignment horizontal="center" readingOrder="0" shrinkToFit="0" vertical="top" wrapText="1"/>
    </xf>
    <xf borderId="1" fillId="0" fontId="10" numFmtId="9" xfId="0" applyAlignment="1" applyBorder="1" applyFont="1" applyNumberFormat="1">
      <alignment horizontal="center" shrinkToFit="0" vertical="top" wrapText="1"/>
    </xf>
    <xf borderId="1" fillId="0" fontId="8" numFmtId="165" xfId="0" applyAlignment="1" applyBorder="1" applyFont="1" applyNumberFormat="1">
      <alignment horizontal="center" shrinkToFit="0" vertical="top" wrapText="1"/>
    </xf>
    <xf borderId="2" fillId="4" fontId="11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0" fontId="7" numFmtId="0" xfId="0" applyAlignment="1" applyBorder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165" xfId="0" applyAlignment="1" applyBorder="1" applyFont="1" applyNumberFormat="1">
      <alignment horizontal="center" shrinkToFit="0" vertical="bottom" wrapText="0"/>
    </xf>
    <xf borderId="1" fillId="0" fontId="8" numFmtId="9" xfId="0" applyAlignment="1" applyBorder="1" applyFont="1" applyNumberFormat="1">
      <alignment horizontal="center" shrinkToFit="0" vertical="bottom" wrapText="0"/>
    </xf>
    <xf borderId="0" fillId="0" fontId="13" numFmtId="0" xfId="0" applyFont="1"/>
    <xf borderId="1" fillId="3" fontId="7" numFmtId="0" xfId="0" applyAlignment="1" applyBorder="1" applyFill="1" applyFont="1">
      <alignment horizontal="center" shrinkToFit="0" vertical="bottom" wrapText="0"/>
    </xf>
    <xf borderId="1" fillId="3" fontId="7" numFmtId="165" xfId="0" applyAlignment="1" applyBorder="1" applyFill="1" applyFont="1" applyNumberFormat="1">
      <alignment horizontal="center" shrinkToFit="0" vertical="bottom" wrapText="0"/>
    </xf>
    <xf borderId="1" fillId="3" fontId="7" numFmtId="9" xfId="0" applyAlignment="1" applyBorder="1" applyFill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1" fillId="2" fontId="15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bottom" wrapText="0"/>
    </xf>
    <xf borderId="1" fillId="0" fontId="10" numFmtId="0" xfId="0" applyAlignment="1" applyBorder="1" applyFont="1">
      <alignment horizontal="center" shrinkToFit="0" vertical="top" wrapText="1"/>
    </xf>
    <xf borderId="0" fillId="0" fontId="7" numFmtId="165" xfId="0" applyAlignment="1" applyFont="1" applyNumberForma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top" wrapText="1"/>
    </xf>
    <xf borderId="1" fillId="0" fontId="16" numFmtId="0" xfId="0" applyAlignment="1" applyBorder="1" applyFont="1">
      <alignment shrinkToFit="0" vertical="top" wrapText="1"/>
    </xf>
    <xf borderId="5" fillId="2" fontId="3" numFmtId="0" xfId="0" applyAlignment="1" applyBorder="1" applyFill="1" applyFont="1">
      <alignment shrinkToFit="0" vertical="bottom" wrapText="0"/>
    </xf>
    <xf borderId="6" fillId="0" fontId="9" numFmtId="0" xfId="0" applyBorder="1" applyFont="1"/>
    <xf borderId="7" fillId="0" fontId="9" numFmtId="0" xfId="0" applyBorder="1" applyFont="1"/>
    <xf borderId="1" fillId="0" fontId="1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rannam1304/TechStor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24.0"/>
    <col customWidth="1" min="5" max="5" width="40.0"/>
    <col customWidth="1" min="6" max="6" width="14.0"/>
    <col customWidth="1" min="7" max="26" width="8.57"/>
  </cols>
  <sheetData>
    <row r="1" ht="19.5" customHeight="1">
      <c r="B1" s="1" t="s">
        <v>0</v>
      </c>
    </row>
    <row r="2" ht="14.25" customHeight="1">
      <c r="B2" s="4" t="s">
        <v>3</v>
      </c>
    </row>
    <row r="3" ht="14.25" customHeight="1">
      <c r="B3" s="6" t="s">
        <v>6</v>
      </c>
    </row>
    <row r="4" ht="14.25" customHeight="1">
      <c r="B4" s="8" t="s">
        <v>11</v>
      </c>
      <c r="C4" s="9" t="s">
        <v>19</v>
      </c>
      <c r="D4" s="10"/>
      <c r="E4" s="12"/>
    </row>
    <row r="5" ht="14.25" customHeight="1">
      <c r="B5" s="8" t="s">
        <v>25</v>
      </c>
      <c r="C5" s="13">
        <v>46316.0</v>
      </c>
      <c r="D5" s="10"/>
      <c r="E5" s="12"/>
    </row>
    <row r="6" ht="14.25" customHeight="1">
      <c r="B6" s="8" t="s">
        <v>34</v>
      </c>
      <c r="C6" s="15">
        <f>C5+3</f>
        <v>46319</v>
      </c>
      <c r="D6" s="10"/>
      <c r="E6" s="12"/>
    </row>
    <row r="7" ht="14.25" customHeight="1">
      <c r="B7" s="8" t="s">
        <v>37</v>
      </c>
      <c r="C7" s="9" t="s">
        <v>40</v>
      </c>
      <c r="D7" s="10"/>
      <c r="E7" s="12"/>
    </row>
    <row r="8" ht="14.25" customHeight="1">
      <c r="B8" s="8" t="s">
        <v>44</v>
      </c>
      <c r="C8" s="22" t="s">
        <v>45</v>
      </c>
      <c r="D8" s="10"/>
      <c r="E8" s="12"/>
    </row>
    <row r="9" ht="14.25" customHeight="1">
      <c r="B9" s="8" t="s">
        <v>60</v>
      </c>
      <c r="C9" s="9" t="s">
        <v>62</v>
      </c>
      <c r="D9" s="10"/>
      <c r="E9" s="12"/>
    </row>
    <row r="10" ht="14.25" customHeight="1"/>
    <row r="11" ht="15.0" customHeight="1">
      <c r="B11" s="23" t="s">
        <v>64</v>
      </c>
    </row>
    <row r="12" ht="14.25" customHeight="1">
      <c r="B12" s="24" t="s">
        <v>69</v>
      </c>
      <c r="C12" s="24" t="s">
        <v>72</v>
      </c>
      <c r="D12" s="24" t="s">
        <v>73</v>
      </c>
      <c r="E12" s="24" t="s">
        <v>74</v>
      </c>
    </row>
    <row r="13" ht="42.0" customHeight="1">
      <c r="B13" s="25" t="s">
        <v>77</v>
      </c>
      <c r="C13" s="26" t="s">
        <v>41</v>
      </c>
      <c r="D13" s="16" t="s">
        <v>78</v>
      </c>
      <c r="E13" s="16" t="s">
        <v>80</v>
      </c>
    </row>
    <row r="14" ht="42.0" customHeight="1">
      <c r="B14" s="25" t="s">
        <v>83</v>
      </c>
      <c r="C14" s="26" t="s">
        <v>42</v>
      </c>
      <c r="D14" s="16" t="s">
        <v>86</v>
      </c>
      <c r="E14" s="16" t="s">
        <v>87</v>
      </c>
    </row>
    <row r="15" ht="42.0" customHeight="1">
      <c r="B15" s="25" t="s">
        <v>88</v>
      </c>
      <c r="C15" s="26" t="s">
        <v>68</v>
      </c>
      <c r="D15" s="16" t="s">
        <v>89</v>
      </c>
      <c r="E15" s="16" t="s">
        <v>91</v>
      </c>
    </row>
    <row r="16" ht="14.25" customHeight="1"/>
    <row r="17" ht="15.0" customHeight="1">
      <c r="B17" s="23" t="s">
        <v>93</v>
      </c>
    </row>
    <row r="18" ht="26.25" customHeight="1">
      <c r="B18" s="27" t="s">
        <v>95</v>
      </c>
      <c r="C18" s="27" t="s">
        <v>98</v>
      </c>
      <c r="D18" s="27" t="s">
        <v>101</v>
      </c>
      <c r="E18" s="27" t="s">
        <v>102</v>
      </c>
      <c r="F18" s="27" t="s">
        <v>103</v>
      </c>
    </row>
    <row r="19" ht="14.25" customHeight="1">
      <c r="B19" s="28" t="str">
        <f t="shared" ref="B19:B21" si="1">C13</f>
        <v>Hữu Nam</v>
      </c>
      <c r="C19" s="29">
        <f>COUNTIF('Phân công'!$G$2:$G$121,"Hữu Nam")</f>
        <v>26</v>
      </c>
      <c r="D19" s="30">
        <f>SUMIF('Phân công'!$G$2:$G$121,"Hữu Nam",'Phân công'!$J$2:$J$121)</f>
        <v>34</v>
      </c>
      <c r="E19" s="29">
        <f>COUNTIFS('Phân công'!$G$2:$G$121,"Hữu Nam",'Phân công'!$M$2:$M$121,"Hoàn thành")</f>
        <v>3</v>
      </c>
      <c r="F19" s="31">
        <f>IFERROR(SUMPRODUCT(('Phân công'!$G$2:$G$121="Hữu Nam")*'Phân công'!$J$2:$J$121*'Phân công'!$N$2:$N$121)/D19,0)</f>
        <v>0</v>
      </c>
    </row>
    <row r="20" ht="14.25" customHeight="1">
      <c r="B20" s="28" t="str">
        <f t="shared" si="1"/>
        <v>Thành Trung</v>
      </c>
      <c r="C20" s="29">
        <f>COUNTIF('Phân công'!$G$2:$G$121,"Thành Trung")</f>
        <v>25</v>
      </c>
      <c r="D20" s="30">
        <f>SUMIF('Phân công'!$G$2:$G$121,"Thành Trung",'Phân công'!$J$2:$J$121)</f>
        <v>35</v>
      </c>
      <c r="E20" s="29">
        <f>COUNTIFS('Phân công'!$G$2:$G$121,"Thành Trung",'Phân công'!$M$2:$M$121,"Hoàn thành")</f>
        <v>0</v>
      </c>
      <c r="F20" s="31">
        <f>IFERROR(SUMPRODUCT(('Phân công'!$G$2:$G$121="Thành Trung")*'Phân công'!$J$2:$J$121*'Phân công'!$N$2:$N$121)/D20,0)</f>
        <v>0</v>
      </c>
    </row>
    <row r="21" ht="14.25" customHeight="1">
      <c r="B21" s="28" t="str">
        <f t="shared" si="1"/>
        <v>Kiệt</v>
      </c>
      <c r="C21" s="29">
        <f>COUNTIF('Phân công'!$G$2:$G$121,"Kiệt")</f>
        <v>23</v>
      </c>
      <c r="D21" s="30">
        <f>SUMIF('Phân công'!$G$2:$G$121,"Kiệt",'Phân công'!$J$2:$J$121)</f>
        <v>33.5</v>
      </c>
      <c r="E21" s="29">
        <f>COUNTIFS('Phân công'!$G$2:$G$121,"Kiệt",'Phân công'!$M$2:$M$121,"Hoàn thành")</f>
        <v>0</v>
      </c>
      <c r="F21" s="31">
        <f>IFERROR(SUMPRODUCT(('Phân công'!$G$2:$G$121="Kiệt")*'Phân công'!$J$2:$J$121*'Phân công'!$N$2:$N$121)/D21,0)</f>
        <v>0</v>
      </c>
    </row>
    <row r="22" ht="14.25" customHeight="1">
      <c r="B22" s="8" t="s">
        <v>188</v>
      </c>
      <c r="C22" s="33">
        <f t="shared" ref="C22:E22" si="2">SUM(C19:C21)</f>
        <v>74</v>
      </c>
      <c r="D22" s="34">
        <f t="shared" si="2"/>
        <v>102.5</v>
      </c>
      <c r="E22" s="33">
        <f t="shared" si="2"/>
        <v>3</v>
      </c>
      <c r="F22" s="35">
        <f>IFERROR(SUMPRODUCT('Phân công'!$J$2:$J$121*'Phân công'!$N$2:$N$121)/D22,0)</f>
        <v>0</v>
      </c>
    </row>
    <row r="23" ht="14.25" customHeight="1"/>
    <row r="24" ht="15.0" customHeight="1">
      <c r="B24" s="23" t="s">
        <v>197</v>
      </c>
    </row>
    <row r="25" ht="14.25" customHeight="1">
      <c r="B25" s="28" t="s">
        <v>110</v>
      </c>
      <c r="C25" s="29">
        <f>COUNTIF('Phân công'!$M$2:$M$121,B25)</f>
        <v>71</v>
      </c>
    </row>
    <row r="26" ht="14.25" customHeight="1">
      <c r="B26" s="28" t="s">
        <v>200</v>
      </c>
      <c r="C26" s="29">
        <f>COUNTIF('Phân công'!$M$2:$M$121,B26)</f>
        <v>0</v>
      </c>
    </row>
    <row r="27" ht="14.25" customHeight="1">
      <c r="B27" s="28" t="s">
        <v>202</v>
      </c>
      <c r="C27" s="29">
        <f>COUNTIF('Phân công'!$M$2:$M$121,B27)</f>
        <v>0</v>
      </c>
    </row>
    <row r="28" ht="14.25" customHeight="1">
      <c r="B28" s="28" t="s">
        <v>48</v>
      </c>
      <c r="C28" s="29">
        <f>COUNTIF('Phân công'!$M$2:$M$121,B28)</f>
        <v>3</v>
      </c>
    </row>
    <row r="29" ht="14.25" customHeight="1">
      <c r="B29" s="28" t="s">
        <v>212</v>
      </c>
      <c r="C29" s="29">
        <f>COUNTIF('Phân công'!$M$2:$M$121,B29)</f>
        <v>0</v>
      </c>
    </row>
    <row r="30" ht="14.25" customHeight="1"/>
    <row r="31" ht="79.5" customHeight="1">
      <c r="B31" s="36" t="s">
        <v>215</v>
      </c>
    </row>
    <row r="32" ht="14.25" customHeight="1"/>
    <row r="33" ht="15.0" customHeight="1">
      <c r="B33" s="23" t="s">
        <v>217</v>
      </c>
    </row>
    <row r="34" ht="14.25" customHeight="1">
      <c r="B34" s="28" t="s">
        <v>218</v>
      </c>
      <c r="C34" s="29" t="str">
        <f>'Checklist nộp bài'!C3</f>
        <v>0 / 28</v>
      </c>
      <c r="D34" s="31">
        <f>'Checklist nộp bài'!D3</f>
        <v>0</v>
      </c>
    </row>
    <row r="35" ht="14.25" customHeight="1">
      <c r="B35" s="28" t="s">
        <v>222</v>
      </c>
      <c r="C35" s="29">
        <f>'Báo cáo'!C3</f>
        <v>40</v>
      </c>
      <c r="D35" s="29" t="str">
        <f>'Báo cáo'!D3</f>
        <v>ĐẠT (20–60 trang)</v>
      </c>
    </row>
    <row r="36" ht="14.25" customHeight="1">
      <c r="B36" s="28" t="s">
        <v>227</v>
      </c>
      <c r="C36" s="30">
        <f>Video!C3</f>
        <v>18</v>
      </c>
      <c r="D36" s="29" t="str">
        <f>Video!D3</f>
        <v>ĐẠT (≤ 20 phút)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4:E4"/>
    <mergeCell ref="C5:E5"/>
    <mergeCell ref="C6:E6"/>
    <mergeCell ref="C7:E7"/>
    <mergeCell ref="C8:E8"/>
    <mergeCell ref="C9:E9"/>
    <mergeCell ref="B31:F31"/>
  </mergeCells>
  <hyperlinks>
    <hyperlink r:id="rId1" ref="C8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64.0"/>
    <col customWidth="1" min="4" max="4" width="48.0"/>
    <col customWidth="1" min="5" max="5" width="14.0"/>
    <col customWidth="1" min="6" max="6" width="12.0"/>
    <col customWidth="1" min="7" max="7" width="14.0"/>
    <col customWidth="1" min="8" max="26" width="8.57"/>
  </cols>
  <sheetData>
    <row r="1" ht="18.0" customHeight="1">
      <c r="A1" s="2" t="s">
        <v>2</v>
      </c>
    </row>
    <row r="2" ht="14.25" customHeight="1">
      <c r="A2" s="5" t="s">
        <v>4</v>
      </c>
    </row>
    <row r="3" ht="14.25" customHeight="1">
      <c r="B3" s="7" t="s">
        <v>8</v>
      </c>
      <c r="C3" s="7" t="str">
        <f>COUNTIF(G5:G32,"Đạt")&amp;" / "&amp;COUNT(A5:A32)</f>
        <v>0 / 28</v>
      </c>
      <c r="D3" s="17">
        <f>IFERROR(COUNTIF(G5:G32,"Đạt")/COUNT(A5:A32),0)</f>
        <v>0</v>
      </c>
    </row>
    <row r="4" ht="31.5" customHeight="1">
      <c r="A4" s="3" t="s">
        <v>49</v>
      </c>
      <c r="B4" s="3" t="s">
        <v>50</v>
      </c>
      <c r="C4" s="3" t="s">
        <v>51</v>
      </c>
      <c r="D4" s="3" t="s">
        <v>52</v>
      </c>
      <c r="E4" s="3" t="s">
        <v>23</v>
      </c>
      <c r="F4" s="3" t="s">
        <v>54</v>
      </c>
      <c r="G4" s="3" t="s">
        <v>30</v>
      </c>
    </row>
    <row r="5" ht="14.25" customHeight="1">
      <c r="A5" s="11">
        <v>1.0</v>
      </c>
      <c r="B5" s="16" t="s">
        <v>56</v>
      </c>
      <c r="C5" s="16" t="s">
        <v>57</v>
      </c>
      <c r="D5" s="16" t="s">
        <v>58</v>
      </c>
      <c r="E5" s="11" t="s">
        <v>41</v>
      </c>
      <c r="F5" s="11">
        <v>4.0</v>
      </c>
      <c r="G5" s="11" t="s">
        <v>63</v>
      </c>
    </row>
    <row r="6" ht="24.75" customHeight="1">
      <c r="A6" s="11">
        <v>2.0</v>
      </c>
      <c r="B6" s="16" t="s">
        <v>56</v>
      </c>
      <c r="C6" s="16" t="s">
        <v>65</v>
      </c>
      <c r="D6" s="16" t="s">
        <v>67</v>
      </c>
      <c r="E6" s="11" t="s">
        <v>68</v>
      </c>
      <c r="F6" s="11">
        <v>4.0</v>
      </c>
      <c r="G6" s="11" t="s">
        <v>63</v>
      </c>
    </row>
    <row r="7" ht="24.75" customHeight="1">
      <c r="A7" s="11">
        <v>3.0</v>
      </c>
      <c r="B7" s="16" t="s">
        <v>56</v>
      </c>
      <c r="C7" s="16" t="s">
        <v>75</v>
      </c>
      <c r="D7" s="16" t="s">
        <v>76</v>
      </c>
      <c r="E7" s="11" t="s">
        <v>41</v>
      </c>
      <c r="F7" s="11">
        <v>4.0</v>
      </c>
      <c r="G7" s="11" t="s">
        <v>63</v>
      </c>
    </row>
    <row r="8" ht="14.25" customHeight="1">
      <c r="A8" s="11">
        <v>4.0</v>
      </c>
      <c r="B8" s="16" t="s">
        <v>56</v>
      </c>
      <c r="C8" s="16" t="s">
        <v>79</v>
      </c>
      <c r="D8" s="16" t="s">
        <v>81</v>
      </c>
      <c r="E8" s="11" t="s">
        <v>41</v>
      </c>
      <c r="F8" s="11">
        <v>4.0</v>
      </c>
      <c r="G8" s="11" t="s">
        <v>63</v>
      </c>
    </row>
    <row r="9" ht="24.75" customHeight="1">
      <c r="A9" s="11">
        <v>5.0</v>
      </c>
      <c r="B9" s="16" t="s">
        <v>56</v>
      </c>
      <c r="C9" s="16" t="s">
        <v>90</v>
      </c>
      <c r="D9" s="16" t="s">
        <v>92</v>
      </c>
      <c r="E9" s="11" t="s">
        <v>41</v>
      </c>
      <c r="F9" s="11">
        <v>4.0</v>
      </c>
      <c r="G9" s="11" t="s">
        <v>63</v>
      </c>
    </row>
    <row r="10" ht="24.75" customHeight="1">
      <c r="A10" s="11">
        <v>6.0</v>
      </c>
      <c r="B10" s="16" t="s">
        <v>56</v>
      </c>
      <c r="C10" s="16" t="s">
        <v>96</v>
      </c>
      <c r="D10" s="16" t="s">
        <v>99</v>
      </c>
      <c r="E10" s="11" t="s">
        <v>41</v>
      </c>
      <c r="F10" s="11">
        <v>4.0</v>
      </c>
      <c r="G10" s="11" t="s">
        <v>63</v>
      </c>
    </row>
    <row r="11" ht="24.75" customHeight="1">
      <c r="A11" s="11">
        <v>7.0</v>
      </c>
      <c r="B11" s="16" t="s">
        <v>56</v>
      </c>
      <c r="C11" s="16" t="s">
        <v>107</v>
      </c>
      <c r="D11" s="16" t="s">
        <v>108</v>
      </c>
      <c r="E11" s="11" t="s">
        <v>68</v>
      </c>
      <c r="F11" s="11">
        <v>4.0</v>
      </c>
      <c r="G11" s="11" t="s">
        <v>63</v>
      </c>
    </row>
    <row r="12" ht="24.75" customHeight="1">
      <c r="A12" s="11">
        <v>8.0</v>
      </c>
      <c r="B12" s="16" t="s">
        <v>56</v>
      </c>
      <c r="C12" s="16" t="s">
        <v>111</v>
      </c>
      <c r="D12" s="16" t="s">
        <v>112</v>
      </c>
      <c r="E12" s="11" t="s">
        <v>68</v>
      </c>
      <c r="F12" s="11">
        <v>4.0</v>
      </c>
      <c r="G12" s="11" t="s">
        <v>63</v>
      </c>
    </row>
    <row r="13" ht="14.25" customHeight="1">
      <c r="A13" s="11">
        <v>9.0</v>
      </c>
      <c r="B13" s="16" t="s">
        <v>56</v>
      </c>
      <c r="C13" s="16" t="s">
        <v>114</v>
      </c>
      <c r="D13" s="16" t="s">
        <v>115</v>
      </c>
      <c r="E13" s="11" t="s">
        <v>41</v>
      </c>
      <c r="F13" s="11">
        <v>4.0</v>
      </c>
      <c r="G13" s="11" t="s">
        <v>63</v>
      </c>
    </row>
    <row r="14" ht="24.75" customHeight="1">
      <c r="A14" s="11">
        <v>10.0</v>
      </c>
      <c r="B14" s="16" t="s">
        <v>120</v>
      </c>
      <c r="C14" s="16" t="s">
        <v>122</v>
      </c>
      <c r="D14" s="16" t="s">
        <v>123</v>
      </c>
      <c r="E14" s="11" t="s">
        <v>42</v>
      </c>
      <c r="F14" s="11">
        <v>4.0</v>
      </c>
      <c r="G14" s="11" t="s">
        <v>63</v>
      </c>
    </row>
    <row r="15" ht="14.25" customHeight="1">
      <c r="A15" s="11">
        <v>11.0</v>
      </c>
      <c r="B15" s="16" t="s">
        <v>120</v>
      </c>
      <c r="C15" s="16" t="s">
        <v>124</v>
      </c>
      <c r="D15" s="16" t="s">
        <v>126</v>
      </c>
      <c r="E15" s="11" t="s">
        <v>42</v>
      </c>
      <c r="F15" s="11">
        <v>4.0</v>
      </c>
      <c r="G15" s="11" t="s">
        <v>63</v>
      </c>
    </row>
    <row r="16" ht="37.5" customHeight="1">
      <c r="A16" s="11">
        <v>12.0</v>
      </c>
      <c r="B16" s="16" t="s">
        <v>120</v>
      </c>
      <c r="C16" s="16" t="s">
        <v>128</v>
      </c>
      <c r="D16" s="16" t="s">
        <v>129</v>
      </c>
      <c r="E16" s="11" t="s">
        <v>42</v>
      </c>
      <c r="F16" s="11">
        <v>3.0</v>
      </c>
      <c r="G16" s="11" t="s">
        <v>63</v>
      </c>
    </row>
    <row r="17" ht="14.25" customHeight="1">
      <c r="A17" s="11">
        <v>13.0</v>
      </c>
      <c r="B17" s="16" t="s">
        <v>120</v>
      </c>
      <c r="C17" s="16" t="s">
        <v>132</v>
      </c>
      <c r="D17" s="16" t="s">
        <v>134</v>
      </c>
      <c r="E17" s="11" t="s">
        <v>42</v>
      </c>
      <c r="F17" s="11">
        <v>4.0</v>
      </c>
      <c r="G17" s="11" t="s">
        <v>63</v>
      </c>
    </row>
    <row r="18" ht="14.25" customHeight="1">
      <c r="A18" s="11">
        <v>14.0</v>
      </c>
      <c r="B18" s="16" t="s">
        <v>120</v>
      </c>
      <c r="C18" s="16" t="s">
        <v>136</v>
      </c>
      <c r="D18" s="16" t="s">
        <v>137</v>
      </c>
      <c r="E18" s="11" t="s">
        <v>68</v>
      </c>
      <c r="F18" s="11">
        <v>4.0</v>
      </c>
      <c r="G18" s="11" t="s">
        <v>63</v>
      </c>
    </row>
    <row r="19" ht="24.75" customHeight="1">
      <c r="A19" s="11">
        <v>15.0</v>
      </c>
      <c r="B19" s="16" t="s">
        <v>138</v>
      </c>
      <c r="C19" s="16" t="s">
        <v>139</v>
      </c>
      <c r="D19" s="16" t="s">
        <v>140</v>
      </c>
      <c r="E19" s="11" t="s">
        <v>42</v>
      </c>
      <c r="F19" s="11">
        <v>4.0</v>
      </c>
      <c r="G19" s="11" t="s">
        <v>63</v>
      </c>
    </row>
    <row r="20" ht="14.25" customHeight="1">
      <c r="A20" s="11">
        <v>16.0</v>
      </c>
      <c r="B20" s="16" t="s">
        <v>138</v>
      </c>
      <c r="C20" s="16" t="s">
        <v>142</v>
      </c>
      <c r="D20" s="16" t="s">
        <v>144</v>
      </c>
      <c r="E20" s="11" t="s">
        <v>41</v>
      </c>
      <c r="F20" s="11">
        <v>4.0</v>
      </c>
      <c r="G20" s="11" t="s">
        <v>63</v>
      </c>
    </row>
    <row r="21" ht="14.25" customHeight="1">
      <c r="A21" s="11">
        <v>17.0</v>
      </c>
      <c r="B21" s="16" t="s">
        <v>138</v>
      </c>
      <c r="C21" s="16" t="s">
        <v>146</v>
      </c>
      <c r="D21" s="16" t="s">
        <v>144</v>
      </c>
      <c r="E21" s="11" t="s">
        <v>41</v>
      </c>
      <c r="F21" s="11">
        <v>4.0</v>
      </c>
      <c r="G21" s="11" t="s">
        <v>63</v>
      </c>
    </row>
    <row r="22" ht="14.25" customHeight="1">
      <c r="A22" s="11">
        <v>18.0</v>
      </c>
      <c r="B22" s="16" t="s">
        <v>138</v>
      </c>
      <c r="C22" s="16" t="s">
        <v>148</v>
      </c>
      <c r="D22" s="16" t="s">
        <v>144</v>
      </c>
      <c r="E22" s="11" t="s">
        <v>42</v>
      </c>
      <c r="F22" s="11">
        <v>4.0</v>
      </c>
      <c r="G22" s="11" t="s">
        <v>63</v>
      </c>
    </row>
    <row r="23" ht="14.25" customHeight="1">
      <c r="A23" s="11">
        <v>19.0</v>
      </c>
      <c r="B23" s="16" t="s">
        <v>138</v>
      </c>
      <c r="C23" s="16" t="s">
        <v>150</v>
      </c>
      <c r="D23" s="16" t="s">
        <v>144</v>
      </c>
      <c r="E23" s="11" t="s">
        <v>68</v>
      </c>
      <c r="F23" s="11">
        <v>4.0</v>
      </c>
      <c r="G23" s="11" t="s">
        <v>63</v>
      </c>
    </row>
    <row r="24" ht="14.25" customHeight="1">
      <c r="A24" s="11">
        <v>20.0</v>
      </c>
      <c r="B24" s="16" t="s">
        <v>138</v>
      </c>
      <c r="C24" s="16" t="s">
        <v>152</v>
      </c>
      <c r="D24" s="16" t="s">
        <v>154</v>
      </c>
      <c r="E24" s="11" t="s">
        <v>41</v>
      </c>
      <c r="F24" s="11">
        <v>4.0</v>
      </c>
      <c r="G24" s="11" t="s">
        <v>63</v>
      </c>
    </row>
    <row r="25" ht="14.25" customHeight="1">
      <c r="A25" s="11">
        <v>21.0</v>
      </c>
      <c r="B25" s="16" t="s">
        <v>138</v>
      </c>
      <c r="C25" s="16" t="s">
        <v>155</v>
      </c>
      <c r="D25" s="16" t="s">
        <v>156</v>
      </c>
      <c r="E25" s="11" t="s">
        <v>42</v>
      </c>
      <c r="F25" s="11">
        <v>4.0</v>
      </c>
      <c r="G25" s="11" t="s">
        <v>63</v>
      </c>
    </row>
    <row r="26" ht="14.25" customHeight="1">
      <c r="A26" s="11">
        <v>22.0</v>
      </c>
      <c r="B26" s="16" t="s">
        <v>138</v>
      </c>
      <c r="C26" s="16" t="s">
        <v>161</v>
      </c>
      <c r="D26" s="16" t="s">
        <v>162</v>
      </c>
      <c r="E26" s="11" t="s">
        <v>42</v>
      </c>
      <c r="F26" s="11">
        <v>4.0</v>
      </c>
      <c r="G26" s="11" t="s">
        <v>63</v>
      </c>
    </row>
    <row r="27" ht="24.75" customHeight="1">
      <c r="A27" s="11">
        <v>23.0</v>
      </c>
      <c r="B27" s="16" t="s">
        <v>163</v>
      </c>
      <c r="C27" s="16" t="s">
        <v>164</v>
      </c>
      <c r="D27" s="16" t="s">
        <v>165</v>
      </c>
      <c r="E27" s="11" t="s">
        <v>42</v>
      </c>
      <c r="F27" s="11">
        <v>4.0</v>
      </c>
      <c r="G27" s="11" t="s">
        <v>63</v>
      </c>
    </row>
    <row r="28" ht="14.25" customHeight="1">
      <c r="A28" s="11">
        <v>24.0</v>
      </c>
      <c r="B28" s="16" t="s">
        <v>163</v>
      </c>
      <c r="C28" s="16" t="s">
        <v>169</v>
      </c>
      <c r="D28" s="16" t="s">
        <v>170</v>
      </c>
      <c r="E28" s="11" t="s">
        <v>42</v>
      </c>
      <c r="F28" s="11">
        <v>4.0</v>
      </c>
      <c r="G28" s="11" t="s">
        <v>63</v>
      </c>
    </row>
    <row r="29" ht="14.25" customHeight="1">
      <c r="A29" s="11">
        <v>25.0</v>
      </c>
      <c r="B29" s="16" t="s">
        <v>163</v>
      </c>
      <c r="C29" s="16" t="s">
        <v>173</v>
      </c>
      <c r="D29" s="16" t="s">
        <v>170</v>
      </c>
      <c r="E29" s="11" t="s">
        <v>42</v>
      </c>
      <c r="F29" s="11">
        <v>4.0</v>
      </c>
      <c r="G29" s="11" t="s">
        <v>63</v>
      </c>
    </row>
    <row r="30" ht="14.25" customHeight="1">
      <c r="A30" s="11">
        <v>26.0</v>
      </c>
      <c r="B30" s="16" t="s">
        <v>163</v>
      </c>
      <c r="C30" s="16" t="s">
        <v>175</v>
      </c>
      <c r="D30" s="16" t="s">
        <v>176</v>
      </c>
      <c r="E30" s="11" t="s">
        <v>42</v>
      </c>
      <c r="F30" s="11">
        <v>4.0</v>
      </c>
      <c r="G30" s="11" t="s">
        <v>63</v>
      </c>
    </row>
    <row r="31" ht="14.25" customHeight="1">
      <c r="A31" s="11">
        <v>27.0</v>
      </c>
      <c r="B31" s="16" t="s">
        <v>163</v>
      </c>
      <c r="C31" s="16" t="s">
        <v>180</v>
      </c>
      <c r="D31" s="16" t="s">
        <v>181</v>
      </c>
      <c r="E31" s="11" t="s">
        <v>42</v>
      </c>
      <c r="F31" s="11">
        <v>4.0</v>
      </c>
      <c r="G31" s="11" t="s">
        <v>63</v>
      </c>
    </row>
    <row r="32" ht="24.75" customHeight="1">
      <c r="A32" s="11">
        <v>28.0</v>
      </c>
      <c r="B32" s="16" t="s">
        <v>163</v>
      </c>
      <c r="C32" s="16" t="s">
        <v>183</v>
      </c>
      <c r="D32" s="16" t="s">
        <v>184</v>
      </c>
      <c r="E32" s="11" t="s">
        <v>68</v>
      </c>
      <c r="F32" s="11">
        <v>4.0</v>
      </c>
      <c r="G32" s="11" t="s">
        <v>63</v>
      </c>
    </row>
    <row r="33" ht="14.25" customHeight="1">
      <c r="G33" s="32"/>
    </row>
    <row r="34" ht="14.25" customHeight="1">
      <c r="G34" s="32"/>
    </row>
    <row r="35" ht="14.25" customHeight="1">
      <c r="G35" s="32"/>
    </row>
    <row r="36" ht="14.25" customHeight="1">
      <c r="G36" s="32"/>
    </row>
    <row r="37" ht="14.25" customHeight="1">
      <c r="G37" s="32"/>
    </row>
    <row r="38" ht="14.25" customHeight="1">
      <c r="G38" s="32"/>
    </row>
    <row r="39" ht="14.25" customHeight="1">
      <c r="G39" s="32"/>
    </row>
    <row r="40" ht="14.25" customHeight="1">
      <c r="G40" s="32"/>
    </row>
    <row r="41" ht="14.25" customHeight="1">
      <c r="G41" s="32"/>
    </row>
    <row r="42" ht="14.25" customHeight="1">
      <c r="G42" s="32"/>
    </row>
    <row r="43" ht="14.25" customHeight="1">
      <c r="G43" s="32"/>
    </row>
    <row r="44" ht="14.25" customHeight="1">
      <c r="G44" s="32"/>
    </row>
    <row r="45" ht="14.25" customHeight="1">
      <c r="G45" s="32"/>
    </row>
    <row r="46" ht="14.25" customHeight="1">
      <c r="G46" s="32"/>
    </row>
    <row r="47" ht="14.25" customHeight="1">
      <c r="G47" s="32"/>
    </row>
    <row r="48" ht="14.25" customHeight="1">
      <c r="G48" s="32"/>
    </row>
    <row r="49" ht="14.25" customHeight="1">
      <c r="G49" s="32"/>
    </row>
    <row r="50" ht="14.25" customHeight="1">
      <c r="G50" s="32"/>
    </row>
    <row r="51" ht="14.25" customHeight="1">
      <c r="G51" s="32"/>
    </row>
    <row r="52" ht="14.25" customHeight="1">
      <c r="G52" s="32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5:G32">
    <cfRule type="cellIs" dxfId="0" priority="1" operator="equal">
      <formula>"Đạt"</formula>
    </cfRule>
  </conditionalFormatting>
  <conditionalFormatting sqref="G5:G32">
    <cfRule type="cellIs" dxfId="1" priority="2" operator="equal">
      <formula>"Chưa đạt"</formula>
    </cfRule>
  </conditionalFormatting>
  <dataValidations>
    <dataValidation type="list" allowBlank="1" sqref="G5:G52">
      <formula1>"Chưa kiểm,Đạt,Chưa đạt"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12.0"/>
    <col customWidth="1" min="4" max="4" width="13.0"/>
    <col customWidth="1" min="5" max="5" width="60.0"/>
    <col customWidth="1" min="6" max="6" width="36.0"/>
    <col customWidth="1" min="7" max="7" width="10.0"/>
    <col customWidth="1" min="8" max="8" width="9.0"/>
    <col customWidth="1" min="9" max="10" width="10.0"/>
    <col customWidth="1" min="11" max="11" width="16.0"/>
    <col customWidth="1" min="12" max="12" width="24.0"/>
    <col customWidth="1" min="13" max="13" width="15.0"/>
    <col customWidth="1" min="14" max="14" width="12.0"/>
    <col customWidth="1" min="15" max="15" width="42.0"/>
    <col customWidth="1" min="16" max="26" width="8.57"/>
  </cols>
  <sheetData>
    <row r="1" ht="31.5" customHeight="1">
      <c r="A1" s="3" t="s">
        <v>15</v>
      </c>
      <c r="B1" s="3" t="s">
        <v>1</v>
      </c>
      <c r="C1" s="3" t="s">
        <v>5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</row>
    <row r="2" ht="33.75" customHeight="1">
      <c r="A2" s="11" t="s">
        <v>33</v>
      </c>
      <c r="B2" s="11">
        <v>1.0</v>
      </c>
      <c r="C2" s="14">
        <f>'Tổng quan'!$C$5+B2-1</f>
        <v>46316</v>
      </c>
      <c r="D2" s="16" t="s">
        <v>35</v>
      </c>
      <c r="E2" s="16" t="s">
        <v>36</v>
      </c>
      <c r="F2" s="16" t="s">
        <v>39</v>
      </c>
      <c r="G2" s="11" t="s">
        <v>41</v>
      </c>
      <c r="H2" s="11" t="s">
        <v>42</v>
      </c>
      <c r="I2" s="11" t="s">
        <v>43</v>
      </c>
      <c r="J2" s="18">
        <v>1.0</v>
      </c>
      <c r="K2" s="16" t="s">
        <v>46</v>
      </c>
      <c r="L2" s="16" t="s">
        <v>47</v>
      </c>
      <c r="M2" s="19" t="s">
        <v>48</v>
      </c>
      <c r="N2" s="20">
        <v>0.0</v>
      </c>
      <c r="O2" s="16" t="s">
        <v>53</v>
      </c>
    </row>
    <row r="3" ht="48.75" customHeight="1">
      <c r="A3" s="11" t="s">
        <v>55</v>
      </c>
      <c r="B3" s="11">
        <v>1.0</v>
      </c>
      <c r="C3" s="14">
        <f>'Tổng quan'!$C$5+B3-1</f>
        <v>46316</v>
      </c>
      <c r="D3" s="16" t="s">
        <v>35</v>
      </c>
      <c r="E3" s="16" t="s">
        <v>59</v>
      </c>
      <c r="F3" s="16" t="s">
        <v>61</v>
      </c>
      <c r="G3" s="11" t="s">
        <v>41</v>
      </c>
      <c r="H3" s="11" t="s">
        <v>42</v>
      </c>
      <c r="I3" s="11" t="s">
        <v>43</v>
      </c>
      <c r="J3" s="18">
        <v>1.0</v>
      </c>
      <c r="K3" s="16" t="s">
        <v>46</v>
      </c>
      <c r="L3" s="16" t="s">
        <v>66</v>
      </c>
      <c r="M3" s="19" t="s">
        <v>48</v>
      </c>
      <c r="N3" s="20">
        <v>0.0</v>
      </c>
      <c r="O3" s="16" t="s">
        <v>70</v>
      </c>
    </row>
    <row r="4" ht="33.75" customHeight="1">
      <c r="A4" s="11" t="s">
        <v>71</v>
      </c>
      <c r="B4" s="11">
        <v>1.0</v>
      </c>
      <c r="C4" s="14">
        <f>'Tổng quan'!$C$5+B4-1</f>
        <v>46316</v>
      </c>
      <c r="D4" s="16" t="s">
        <v>82</v>
      </c>
      <c r="E4" s="16" t="s">
        <v>84</v>
      </c>
      <c r="F4" s="16" t="s">
        <v>85</v>
      </c>
      <c r="G4" s="11" t="s">
        <v>41</v>
      </c>
      <c r="H4" s="11" t="s">
        <v>42</v>
      </c>
      <c r="I4" s="11" t="s">
        <v>43</v>
      </c>
      <c r="J4" s="18">
        <v>2.0</v>
      </c>
      <c r="K4" s="16" t="s">
        <v>33</v>
      </c>
      <c r="L4" s="16" t="s">
        <v>94</v>
      </c>
      <c r="M4" s="19" t="s">
        <v>48</v>
      </c>
      <c r="N4" s="20">
        <v>0.0</v>
      </c>
      <c r="O4" s="16" t="s">
        <v>97</v>
      </c>
    </row>
    <row r="5" ht="63.75" customHeight="1">
      <c r="A5" s="11" t="s">
        <v>100</v>
      </c>
      <c r="B5" s="11">
        <v>1.0</v>
      </c>
      <c r="C5" s="14">
        <f>'Tổng quan'!$C$5+B5-1</f>
        <v>46316</v>
      </c>
      <c r="D5" s="16" t="s">
        <v>104</v>
      </c>
      <c r="E5" s="16" t="s">
        <v>105</v>
      </c>
      <c r="F5" s="16" t="s">
        <v>106</v>
      </c>
      <c r="G5" s="11" t="s">
        <v>42</v>
      </c>
      <c r="H5" s="11" t="s">
        <v>41</v>
      </c>
      <c r="I5" s="11" t="s">
        <v>43</v>
      </c>
      <c r="J5" s="18">
        <v>2.0</v>
      </c>
      <c r="K5" s="16" t="s">
        <v>55</v>
      </c>
      <c r="L5" s="16" t="s">
        <v>109</v>
      </c>
      <c r="M5" s="11" t="s">
        <v>110</v>
      </c>
      <c r="N5" s="20">
        <v>0.0</v>
      </c>
      <c r="O5" s="16"/>
    </row>
    <row r="6" ht="33.75" customHeight="1">
      <c r="A6" s="11" t="s">
        <v>113</v>
      </c>
      <c r="B6" s="11">
        <v>1.0</v>
      </c>
      <c r="C6" s="14">
        <f>'Tổng quan'!$C$5+B6-1</f>
        <v>46316</v>
      </c>
      <c r="D6" s="16" t="s">
        <v>104</v>
      </c>
      <c r="E6" s="16" t="s">
        <v>116</v>
      </c>
      <c r="F6" s="16" t="s">
        <v>117</v>
      </c>
      <c r="G6" s="11" t="s">
        <v>42</v>
      </c>
      <c r="H6" s="11" t="s">
        <v>41</v>
      </c>
      <c r="I6" s="11" t="s">
        <v>43</v>
      </c>
      <c r="J6" s="18">
        <v>1.0</v>
      </c>
      <c r="K6" s="16" t="s">
        <v>100</v>
      </c>
      <c r="L6" s="16" t="s">
        <v>109</v>
      </c>
      <c r="M6" s="11" t="s">
        <v>110</v>
      </c>
      <c r="N6" s="20">
        <v>0.0</v>
      </c>
      <c r="O6" s="16"/>
    </row>
    <row r="7" ht="33.75" customHeight="1">
      <c r="A7" s="11" t="s">
        <v>125</v>
      </c>
      <c r="B7" s="11">
        <v>1.0</v>
      </c>
      <c r="C7" s="14">
        <f>'Tổng quan'!$C$5+B7-1</f>
        <v>46316</v>
      </c>
      <c r="D7" s="16" t="s">
        <v>60</v>
      </c>
      <c r="E7" s="16" t="s">
        <v>130</v>
      </c>
      <c r="F7" s="16" t="s">
        <v>131</v>
      </c>
      <c r="G7" s="11" t="s">
        <v>42</v>
      </c>
      <c r="H7" s="11" t="s">
        <v>41</v>
      </c>
      <c r="I7" s="11" t="s">
        <v>43</v>
      </c>
      <c r="J7" s="18">
        <v>1.0</v>
      </c>
      <c r="K7" s="16" t="s">
        <v>55</v>
      </c>
      <c r="L7" s="16" t="s">
        <v>133</v>
      </c>
      <c r="M7" s="11" t="s">
        <v>110</v>
      </c>
      <c r="N7" s="20">
        <v>0.0</v>
      </c>
      <c r="O7" s="16"/>
    </row>
    <row r="8" ht="33.75" customHeight="1">
      <c r="A8" s="11" t="s">
        <v>135</v>
      </c>
      <c r="B8" s="11">
        <v>1.0</v>
      </c>
      <c r="C8" s="14">
        <f>'Tổng quan'!$C$5+B8-1</f>
        <v>46316</v>
      </c>
      <c r="D8" s="16" t="s">
        <v>141</v>
      </c>
      <c r="E8" s="16" t="s">
        <v>143</v>
      </c>
      <c r="F8" s="16" t="s">
        <v>145</v>
      </c>
      <c r="G8" s="11" t="s">
        <v>68</v>
      </c>
      <c r="H8" s="11" t="s">
        <v>41</v>
      </c>
      <c r="I8" s="11" t="s">
        <v>43</v>
      </c>
      <c r="J8" s="18">
        <v>2.0</v>
      </c>
      <c r="K8" s="16" t="s">
        <v>55</v>
      </c>
      <c r="L8" s="16" t="s">
        <v>147</v>
      </c>
      <c r="M8" s="11" t="s">
        <v>110</v>
      </c>
      <c r="N8" s="20">
        <v>0.0</v>
      </c>
      <c r="O8" s="16"/>
    </row>
    <row r="9" ht="33.75" customHeight="1">
      <c r="A9" s="11" t="s">
        <v>149</v>
      </c>
      <c r="B9" s="11">
        <v>1.0</v>
      </c>
      <c r="C9" s="14">
        <f>'Tổng quan'!$C$5+B9-1</f>
        <v>46316</v>
      </c>
      <c r="D9" s="16" t="s">
        <v>82</v>
      </c>
      <c r="E9" s="16" t="s">
        <v>151</v>
      </c>
      <c r="F9" s="16" t="s">
        <v>153</v>
      </c>
      <c r="G9" s="11" t="s">
        <v>68</v>
      </c>
      <c r="H9" s="11" t="s">
        <v>41</v>
      </c>
      <c r="I9" s="11" t="s">
        <v>43</v>
      </c>
      <c r="J9" s="18">
        <v>0.5</v>
      </c>
      <c r="K9" s="16" t="s">
        <v>33</v>
      </c>
      <c r="L9" s="16" t="s">
        <v>46</v>
      </c>
      <c r="M9" s="11" t="s">
        <v>110</v>
      </c>
      <c r="N9" s="20">
        <v>0.0</v>
      </c>
      <c r="O9" s="16"/>
    </row>
    <row r="10" ht="63.75" customHeight="1">
      <c r="A10" s="11" t="s">
        <v>159</v>
      </c>
      <c r="B10" s="11">
        <v>1.0</v>
      </c>
      <c r="C10" s="14">
        <f>'Tổng quan'!$C$5+B10-1</f>
        <v>46316</v>
      </c>
      <c r="D10" s="16" t="s">
        <v>166</v>
      </c>
      <c r="E10" s="16" t="s">
        <v>167</v>
      </c>
      <c r="F10" s="16" t="s">
        <v>168</v>
      </c>
      <c r="G10" s="11" t="s">
        <v>68</v>
      </c>
      <c r="H10" s="11" t="s">
        <v>41</v>
      </c>
      <c r="I10" s="11" t="s">
        <v>43</v>
      </c>
      <c r="J10" s="18">
        <v>1.5</v>
      </c>
      <c r="K10" s="16" t="s">
        <v>55</v>
      </c>
      <c r="L10" s="16" t="s">
        <v>171</v>
      </c>
      <c r="M10" s="11" t="s">
        <v>110</v>
      </c>
      <c r="N10" s="20">
        <v>0.0</v>
      </c>
      <c r="O10" s="16"/>
    </row>
    <row r="11" ht="33.75" customHeight="1">
      <c r="A11" s="11" t="s">
        <v>174</v>
      </c>
      <c r="B11" s="11">
        <v>1.0</v>
      </c>
      <c r="C11" s="14">
        <f>'Tổng quan'!$C$5+B11-1</f>
        <v>46316</v>
      </c>
      <c r="D11" s="16" t="s">
        <v>177</v>
      </c>
      <c r="E11" s="16" t="s">
        <v>178</v>
      </c>
      <c r="F11" s="16" t="s">
        <v>179</v>
      </c>
      <c r="G11" s="11" t="s">
        <v>41</v>
      </c>
      <c r="H11" s="11" t="s">
        <v>42</v>
      </c>
      <c r="I11" s="11" t="s">
        <v>43</v>
      </c>
      <c r="J11" s="18">
        <v>1.5</v>
      </c>
      <c r="K11" s="16" t="s">
        <v>71</v>
      </c>
      <c r="L11" s="16" t="s">
        <v>182</v>
      </c>
      <c r="M11" s="11" t="s">
        <v>110</v>
      </c>
      <c r="N11" s="20">
        <v>0.0</v>
      </c>
      <c r="O11" s="16" t="s">
        <v>185</v>
      </c>
    </row>
    <row r="12" ht="33.75" customHeight="1">
      <c r="A12" s="11" t="s">
        <v>186</v>
      </c>
      <c r="B12" s="11">
        <v>1.0</v>
      </c>
      <c r="C12" s="14">
        <f>'Tổng quan'!$C$5+B12-1</f>
        <v>46316</v>
      </c>
      <c r="D12" s="16" t="s">
        <v>177</v>
      </c>
      <c r="E12" s="16" t="s">
        <v>192</v>
      </c>
      <c r="F12" s="16" t="s">
        <v>193</v>
      </c>
      <c r="G12" s="11" t="s">
        <v>41</v>
      </c>
      <c r="H12" s="11" t="s">
        <v>42</v>
      </c>
      <c r="I12" s="11" t="s">
        <v>43</v>
      </c>
      <c r="J12" s="18">
        <v>1.5</v>
      </c>
      <c r="K12" s="16" t="s">
        <v>194</v>
      </c>
      <c r="L12" s="16" t="s">
        <v>182</v>
      </c>
      <c r="M12" s="11" t="s">
        <v>110</v>
      </c>
      <c r="N12" s="20">
        <v>0.0</v>
      </c>
      <c r="O12" s="16" t="s">
        <v>195</v>
      </c>
    </row>
    <row r="13" ht="24.75" customHeight="1">
      <c r="A13" s="11" t="s">
        <v>196</v>
      </c>
      <c r="B13" s="11">
        <v>1.0</v>
      </c>
      <c r="C13" s="14">
        <f>'Tổng quan'!$C$5+B13-1</f>
        <v>46316</v>
      </c>
      <c r="D13" s="16" t="s">
        <v>82</v>
      </c>
      <c r="E13" s="16" t="s">
        <v>198</v>
      </c>
      <c r="F13" s="16" t="s">
        <v>199</v>
      </c>
      <c r="G13" s="11" t="s">
        <v>41</v>
      </c>
      <c r="H13" s="11" t="s">
        <v>42</v>
      </c>
      <c r="I13" s="11" t="s">
        <v>201</v>
      </c>
      <c r="J13" s="18">
        <v>0.5</v>
      </c>
      <c r="K13" s="16" t="s">
        <v>71</v>
      </c>
      <c r="L13" s="16" t="s">
        <v>182</v>
      </c>
      <c r="M13" s="11" t="s">
        <v>110</v>
      </c>
      <c r="N13" s="20">
        <v>0.0</v>
      </c>
      <c r="O13" s="16"/>
    </row>
    <row r="14" ht="33.75" customHeight="1">
      <c r="A14" s="11" t="s">
        <v>203</v>
      </c>
      <c r="B14" s="11">
        <v>1.0</v>
      </c>
      <c r="C14" s="14">
        <f>'Tổng quan'!$C$5+B14-1</f>
        <v>46316</v>
      </c>
      <c r="D14" s="16" t="s">
        <v>204</v>
      </c>
      <c r="E14" s="16" t="s">
        <v>205</v>
      </c>
      <c r="F14" s="16" t="s">
        <v>207</v>
      </c>
      <c r="G14" s="11" t="s">
        <v>42</v>
      </c>
      <c r="H14" s="11" t="s">
        <v>41</v>
      </c>
      <c r="I14" s="11" t="s">
        <v>43</v>
      </c>
      <c r="J14" s="18">
        <v>2.0</v>
      </c>
      <c r="K14" s="16" t="s">
        <v>210</v>
      </c>
      <c r="L14" s="16" t="s">
        <v>211</v>
      </c>
      <c r="M14" s="11" t="s">
        <v>110</v>
      </c>
      <c r="N14" s="20">
        <v>0.0</v>
      </c>
      <c r="O14" s="16" t="s">
        <v>214</v>
      </c>
    </row>
    <row r="15" ht="33.75" customHeight="1">
      <c r="A15" s="11" t="s">
        <v>216</v>
      </c>
      <c r="B15" s="11">
        <v>1.0</v>
      </c>
      <c r="C15" s="14">
        <f>'Tổng quan'!$C$5+B15-1</f>
        <v>46316</v>
      </c>
      <c r="D15" s="16" t="s">
        <v>204</v>
      </c>
      <c r="E15" s="16" t="s">
        <v>219</v>
      </c>
      <c r="F15" s="16" t="s">
        <v>220</v>
      </c>
      <c r="G15" s="11" t="s">
        <v>42</v>
      </c>
      <c r="H15" s="11" t="s">
        <v>41</v>
      </c>
      <c r="I15" s="11" t="s">
        <v>43</v>
      </c>
      <c r="J15" s="18">
        <v>1.0</v>
      </c>
      <c r="K15" s="16" t="s">
        <v>203</v>
      </c>
      <c r="L15" s="16" t="s">
        <v>211</v>
      </c>
      <c r="M15" s="11" t="s">
        <v>110</v>
      </c>
      <c r="N15" s="20">
        <v>0.0</v>
      </c>
      <c r="O15" s="16"/>
    </row>
    <row r="16" ht="33.75" customHeight="1">
      <c r="A16" s="11" t="s">
        <v>221</v>
      </c>
      <c r="B16" s="11">
        <v>1.0</v>
      </c>
      <c r="C16" s="14">
        <f>'Tổng quan'!$C$5+B16-1</f>
        <v>46316</v>
      </c>
      <c r="D16" s="16" t="s">
        <v>223</v>
      </c>
      <c r="E16" s="16" t="s">
        <v>224</v>
      </c>
      <c r="F16" s="16" t="s">
        <v>225</v>
      </c>
      <c r="G16" s="11" t="s">
        <v>42</v>
      </c>
      <c r="H16" s="11" t="s">
        <v>41</v>
      </c>
      <c r="I16" s="11" t="s">
        <v>201</v>
      </c>
      <c r="J16" s="18">
        <v>1.0</v>
      </c>
      <c r="K16" s="16" t="s">
        <v>226</v>
      </c>
      <c r="L16" s="16" t="s">
        <v>211</v>
      </c>
      <c r="M16" s="11" t="s">
        <v>110</v>
      </c>
      <c r="N16" s="20">
        <v>0.0</v>
      </c>
      <c r="O16" s="16" t="s">
        <v>228</v>
      </c>
    </row>
    <row r="17" ht="33.75" customHeight="1">
      <c r="A17" s="11" t="s">
        <v>229</v>
      </c>
      <c r="B17" s="11">
        <v>1.0</v>
      </c>
      <c r="C17" s="14">
        <f>'Tổng quan'!$C$5+B17-1</f>
        <v>46316</v>
      </c>
      <c r="D17" s="16" t="s">
        <v>89</v>
      </c>
      <c r="E17" s="16" t="s">
        <v>230</v>
      </c>
      <c r="F17" s="16" t="s">
        <v>231</v>
      </c>
      <c r="G17" s="11" t="s">
        <v>68</v>
      </c>
      <c r="H17" s="11" t="s">
        <v>41</v>
      </c>
      <c r="I17" s="11" t="s">
        <v>43</v>
      </c>
      <c r="J17" s="18">
        <v>2.0</v>
      </c>
      <c r="K17" s="16" t="s">
        <v>135</v>
      </c>
      <c r="L17" s="16" t="s">
        <v>232</v>
      </c>
      <c r="M17" s="11" t="s">
        <v>110</v>
      </c>
      <c r="N17" s="20">
        <v>0.0</v>
      </c>
      <c r="O17" s="16" t="s">
        <v>233</v>
      </c>
    </row>
    <row r="18" ht="24.75" customHeight="1">
      <c r="A18" s="11" t="s">
        <v>234</v>
      </c>
      <c r="B18" s="11">
        <v>1.0</v>
      </c>
      <c r="C18" s="14">
        <f>'Tổng quan'!$C$5+B18-1</f>
        <v>46316</v>
      </c>
      <c r="D18" s="16" t="s">
        <v>89</v>
      </c>
      <c r="E18" s="16" t="s">
        <v>235</v>
      </c>
      <c r="F18" s="16" t="s">
        <v>236</v>
      </c>
      <c r="G18" s="11" t="s">
        <v>68</v>
      </c>
      <c r="H18" s="11" t="s">
        <v>41</v>
      </c>
      <c r="I18" s="11" t="s">
        <v>43</v>
      </c>
      <c r="J18" s="18">
        <v>1.0</v>
      </c>
      <c r="K18" s="16" t="s">
        <v>237</v>
      </c>
      <c r="L18" s="16" t="s">
        <v>238</v>
      </c>
      <c r="M18" s="11" t="s">
        <v>110</v>
      </c>
      <c r="N18" s="20">
        <v>0.0</v>
      </c>
      <c r="O18" s="16"/>
    </row>
    <row r="19" ht="33.75" customHeight="1">
      <c r="A19" s="11" t="s">
        <v>239</v>
      </c>
      <c r="B19" s="11">
        <v>1.0</v>
      </c>
      <c r="C19" s="14">
        <f>'Tổng quan'!$C$5+B19-1</f>
        <v>46316</v>
      </c>
      <c r="D19" s="16" t="s">
        <v>240</v>
      </c>
      <c r="E19" s="16" t="s">
        <v>241</v>
      </c>
      <c r="F19" s="16" t="s">
        <v>242</v>
      </c>
      <c r="G19" s="11" t="s">
        <v>41</v>
      </c>
      <c r="H19" s="11" t="s">
        <v>42</v>
      </c>
      <c r="I19" s="11" t="s">
        <v>43</v>
      </c>
      <c r="J19" s="18">
        <v>0.5</v>
      </c>
      <c r="K19" s="16" t="s">
        <v>186</v>
      </c>
      <c r="L19" s="16" t="s">
        <v>243</v>
      </c>
      <c r="M19" s="11" t="s">
        <v>110</v>
      </c>
      <c r="N19" s="20">
        <v>0.0</v>
      </c>
      <c r="O19" s="16"/>
    </row>
    <row r="20" ht="48.75" customHeight="1">
      <c r="A20" s="11" t="s">
        <v>244</v>
      </c>
      <c r="B20" s="11">
        <v>1.0</v>
      </c>
      <c r="C20" s="14">
        <f>'Tổng quan'!$C$5+B20-1</f>
        <v>46316</v>
      </c>
      <c r="D20" s="16" t="s">
        <v>166</v>
      </c>
      <c r="E20" s="16" t="s">
        <v>245</v>
      </c>
      <c r="F20" s="16" t="s">
        <v>246</v>
      </c>
      <c r="G20" s="11" t="s">
        <v>68</v>
      </c>
      <c r="H20" s="11" t="s">
        <v>41</v>
      </c>
      <c r="I20" s="11" t="s">
        <v>43</v>
      </c>
      <c r="J20" s="18">
        <v>1.5</v>
      </c>
      <c r="K20" s="16" t="s">
        <v>159</v>
      </c>
      <c r="L20" s="16" t="s">
        <v>171</v>
      </c>
      <c r="M20" s="11" t="s">
        <v>110</v>
      </c>
      <c r="N20" s="20">
        <v>0.0</v>
      </c>
      <c r="O20" s="16"/>
    </row>
    <row r="21" ht="33.75" customHeight="1">
      <c r="A21" s="11" t="s">
        <v>247</v>
      </c>
      <c r="B21" s="11">
        <v>2.0</v>
      </c>
      <c r="C21" s="14">
        <f>'Tổng quan'!$C$5+B21-1</f>
        <v>46317</v>
      </c>
      <c r="D21" s="16" t="s">
        <v>248</v>
      </c>
      <c r="E21" s="16" t="s">
        <v>249</v>
      </c>
      <c r="F21" s="16" t="s">
        <v>250</v>
      </c>
      <c r="G21" s="11" t="s">
        <v>41</v>
      </c>
      <c r="H21" s="11" t="s">
        <v>42</v>
      </c>
      <c r="I21" s="11" t="s">
        <v>43</v>
      </c>
      <c r="J21" s="18">
        <v>2.0</v>
      </c>
      <c r="K21" s="16" t="s">
        <v>251</v>
      </c>
      <c r="L21" s="16" t="s">
        <v>252</v>
      </c>
      <c r="M21" s="11" t="s">
        <v>110</v>
      </c>
      <c r="N21" s="20">
        <v>0.0</v>
      </c>
      <c r="O21" s="16"/>
    </row>
    <row r="22" ht="33.75" customHeight="1">
      <c r="A22" s="11" t="s">
        <v>253</v>
      </c>
      <c r="B22" s="11">
        <v>2.0</v>
      </c>
      <c r="C22" s="14">
        <f>'Tổng quan'!$C$5+B22-1</f>
        <v>46317</v>
      </c>
      <c r="D22" s="16" t="s">
        <v>254</v>
      </c>
      <c r="E22" s="16" t="s">
        <v>255</v>
      </c>
      <c r="F22" s="16" t="s">
        <v>256</v>
      </c>
      <c r="G22" s="11" t="s">
        <v>41</v>
      </c>
      <c r="H22" s="11" t="s">
        <v>42</v>
      </c>
      <c r="I22" s="11" t="s">
        <v>201</v>
      </c>
      <c r="J22" s="18">
        <v>1.0</v>
      </c>
      <c r="K22" s="16" t="s">
        <v>247</v>
      </c>
      <c r="L22" s="16" t="s">
        <v>257</v>
      </c>
      <c r="M22" s="11" t="s">
        <v>110</v>
      </c>
      <c r="N22" s="20">
        <v>0.0</v>
      </c>
      <c r="O22" s="16"/>
    </row>
    <row r="23" ht="24.75" customHeight="1">
      <c r="A23" s="11" t="s">
        <v>258</v>
      </c>
      <c r="B23" s="11">
        <v>2.0</v>
      </c>
      <c r="C23" s="14">
        <f>'Tổng quan'!$C$5+B23-1</f>
        <v>46317</v>
      </c>
      <c r="D23" s="16" t="s">
        <v>223</v>
      </c>
      <c r="E23" s="16" t="s">
        <v>259</v>
      </c>
      <c r="F23" s="16" t="s">
        <v>260</v>
      </c>
      <c r="G23" s="11" t="s">
        <v>42</v>
      </c>
      <c r="H23" s="11" t="s">
        <v>41</v>
      </c>
      <c r="I23" s="11" t="s">
        <v>201</v>
      </c>
      <c r="J23" s="18">
        <v>0.5</v>
      </c>
      <c r="K23" s="16" t="s">
        <v>247</v>
      </c>
      <c r="L23" s="16" t="s">
        <v>252</v>
      </c>
      <c r="M23" s="11" t="s">
        <v>110</v>
      </c>
      <c r="N23" s="20">
        <v>0.0</v>
      </c>
      <c r="O23" s="16"/>
    </row>
    <row r="24" ht="33.75" customHeight="1">
      <c r="A24" s="11" t="s">
        <v>261</v>
      </c>
      <c r="B24" s="11">
        <v>2.0</v>
      </c>
      <c r="C24" s="14">
        <f>'Tổng quan'!$C$5+B24-1</f>
        <v>46317</v>
      </c>
      <c r="D24" s="16" t="s">
        <v>262</v>
      </c>
      <c r="E24" s="16" t="s">
        <v>263</v>
      </c>
      <c r="F24" s="16" t="s">
        <v>264</v>
      </c>
      <c r="G24" s="11" t="s">
        <v>42</v>
      </c>
      <c r="H24" s="11" t="s">
        <v>41</v>
      </c>
      <c r="I24" s="11" t="s">
        <v>43</v>
      </c>
      <c r="J24" s="18">
        <v>2.0</v>
      </c>
      <c r="K24" s="16" t="s">
        <v>203</v>
      </c>
      <c r="L24" s="16" t="s">
        <v>265</v>
      </c>
      <c r="M24" s="11" t="s">
        <v>110</v>
      </c>
      <c r="N24" s="20">
        <v>0.0</v>
      </c>
      <c r="O24" s="16" t="s">
        <v>266</v>
      </c>
    </row>
    <row r="25" ht="24.75" customHeight="1">
      <c r="A25" s="11" t="s">
        <v>267</v>
      </c>
      <c r="B25" s="11">
        <v>2.0</v>
      </c>
      <c r="C25" s="14">
        <f>'Tổng quan'!$C$5+B25-1</f>
        <v>46317</v>
      </c>
      <c r="D25" s="16" t="s">
        <v>262</v>
      </c>
      <c r="E25" s="16" t="s">
        <v>268</v>
      </c>
      <c r="F25" s="16" t="s">
        <v>269</v>
      </c>
      <c r="G25" s="11" t="s">
        <v>42</v>
      </c>
      <c r="H25" s="11" t="s">
        <v>41</v>
      </c>
      <c r="I25" s="11" t="s">
        <v>201</v>
      </c>
      <c r="J25" s="18">
        <v>1.0</v>
      </c>
      <c r="K25" s="16" t="s">
        <v>261</v>
      </c>
      <c r="L25" s="16" t="s">
        <v>265</v>
      </c>
      <c r="M25" s="11" t="s">
        <v>110</v>
      </c>
      <c r="N25" s="20">
        <v>0.0</v>
      </c>
      <c r="O25" s="16"/>
    </row>
    <row r="26" ht="24.75" customHeight="1">
      <c r="A26" s="11" t="s">
        <v>270</v>
      </c>
      <c r="B26" s="11">
        <v>2.0</v>
      </c>
      <c r="C26" s="14">
        <f>'Tổng quan'!$C$5+B26-1</f>
        <v>46317</v>
      </c>
      <c r="D26" s="16" t="s">
        <v>89</v>
      </c>
      <c r="E26" s="16" t="s">
        <v>271</v>
      </c>
      <c r="F26" s="16" t="s">
        <v>272</v>
      </c>
      <c r="G26" s="11" t="s">
        <v>68</v>
      </c>
      <c r="H26" s="11" t="s">
        <v>41</v>
      </c>
      <c r="I26" s="11" t="s">
        <v>43</v>
      </c>
      <c r="J26" s="18">
        <v>1.5</v>
      </c>
      <c r="K26" s="16" t="s">
        <v>273</v>
      </c>
      <c r="L26" s="16" t="s">
        <v>274</v>
      </c>
      <c r="M26" s="11" t="s">
        <v>110</v>
      </c>
      <c r="N26" s="20">
        <v>0.0</v>
      </c>
      <c r="O26" s="16"/>
    </row>
    <row r="27" ht="33.75" customHeight="1">
      <c r="A27" s="11" t="s">
        <v>275</v>
      </c>
      <c r="B27" s="11">
        <v>2.0</v>
      </c>
      <c r="C27" s="14">
        <f>'Tổng quan'!$C$5+B27-1</f>
        <v>46317</v>
      </c>
      <c r="D27" s="16" t="s">
        <v>89</v>
      </c>
      <c r="E27" s="16" t="s">
        <v>277</v>
      </c>
      <c r="F27" s="16" t="s">
        <v>278</v>
      </c>
      <c r="G27" s="11" t="s">
        <v>68</v>
      </c>
      <c r="H27" s="11" t="s">
        <v>41</v>
      </c>
      <c r="I27" s="11" t="s">
        <v>43</v>
      </c>
      <c r="J27" s="18">
        <v>2.0</v>
      </c>
      <c r="K27" s="16" t="s">
        <v>280</v>
      </c>
      <c r="L27" s="16" t="s">
        <v>281</v>
      </c>
      <c r="M27" s="11" t="s">
        <v>110</v>
      </c>
      <c r="N27" s="20">
        <v>0.0</v>
      </c>
      <c r="O27" s="16"/>
    </row>
    <row r="28" ht="33.75" customHeight="1">
      <c r="A28" s="11" t="s">
        <v>282</v>
      </c>
      <c r="B28" s="11">
        <v>2.0</v>
      </c>
      <c r="C28" s="14">
        <f>'Tổng quan'!$C$5+B28-1</f>
        <v>46317</v>
      </c>
      <c r="D28" s="16" t="s">
        <v>288</v>
      </c>
      <c r="E28" s="16" t="s">
        <v>289</v>
      </c>
      <c r="F28" s="16" t="s">
        <v>290</v>
      </c>
      <c r="G28" s="11" t="s">
        <v>41</v>
      </c>
      <c r="H28" s="11" t="s">
        <v>42</v>
      </c>
      <c r="I28" s="11" t="s">
        <v>43</v>
      </c>
      <c r="J28" s="18">
        <v>2.0</v>
      </c>
      <c r="K28" s="16" t="s">
        <v>247</v>
      </c>
      <c r="L28" s="16" t="s">
        <v>294</v>
      </c>
      <c r="M28" s="11" t="s">
        <v>110</v>
      </c>
      <c r="N28" s="20">
        <v>0.0</v>
      </c>
      <c r="O28" s="16" t="s">
        <v>300</v>
      </c>
    </row>
    <row r="29" ht="33.75" customHeight="1">
      <c r="A29" s="11" t="s">
        <v>303</v>
      </c>
      <c r="B29" s="11">
        <v>2.0</v>
      </c>
      <c r="C29" s="14">
        <f>'Tổng quan'!$C$5+B29-1</f>
        <v>46317</v>
      </c>
      <c r="D29" s="16" t="s">
        <v>316</v>
      </c>
      <c r="E29" s="16" t="s">
        <v>317</v>
      </c>
      <c r="F29" s="16" t="s">
        <v>318</v>
      </c>
      <c r="G29" s="11" t="s">
        <v>41</v>
      </c>
      <c r="H29" s="11" t="s">
        <v>42</v>
      </c>
      <c r="I29" s="11" t="s">
        <v>43</v>
      </c>
      <c r="J29" s="18">
        <v>1.5</v>
      </c>
      <c r="K29" s="16" t="s">
        <v>282</v>
      </c>
      <c r="L29" s="16" t="s">
        <v>326</v>
      </c>
      <c r="M29" s="11" t="s">
        <v>110</v>
      </c>
      <c r="N29" s="20">
        <v>0.0</v>
      </c>
      <c r="O29" s="16"/>
    </row>
    <row r="30" ht="33.75" customHeight="1">
      <c r="A30" s="11" t="s">
        <v>333</v>
      </c>
      <c r="B30" s="11">
        <v>2.0</v>
      </c>
      <c r="C30" s="14">
        <f>'Tổng quan'!$C$5+B30-1</f>
        <v>46317</v>
      </c>
      <c r="D30" s="16" t="s">
        <v>35</v>
      </c>
      <c r="E30" s="16" t="s">
        <v>352</v>
      </c>
      <c r="F30" s="16" t="s">
        <v>355</v>
      </c>
      <c r="G30" s="11" t="s">
        <v>41</v>
      </c>
      <c r="H30" s="11" t="s">
        <v>42</v>
      </c>
      <c r="I30" s="11" t="s">
        <v>43</v>
      </c>
      <c r="J30" s="18">
        <v>1.0</v>
      </c>
      <c r="K30" s="16" t="s">
        <v>282</v>
      </c>
      <c r="L30" s="16" t="s">
        <v>356</v>
      </c>
      <c r="M30" s="11" t="s">
        <v>110</v>
      </c>
      <c r="N30" s="20">
        <v>0.0</v>
      </c>
      <c r="O30" s="16" t="s">
        <v>357</v>
      </c>
    </row>
    <row r="31" ht="24.75" customHeight="1">
      <c r="A31" s="11" t="s">
        <v>358</v>
      </c>
      <c r="B31" s="11">
        <v>2.0</v>
      </c>
      <c r="C31" s="14">
        <f>'Tổng quan'!$C$5+B31-1</f>
        <v>46317</v>
      </c>
      <c r="D31" s="16" t="s">
        <v>362</v>
      </c>
      <c r="E31" s="16" t="s">
        <v>363</v>
      </c>
      <c r="F31" s="16" t="s">
        <v>364</v>
      </c>
      <c r="G31" s="11" t="s">
        <v>42</v>
      </c>
      <c r="H31" s="11" t="s">
        <v>41</v>
      </c>
      <c r="I31" s="11" t="s">
        <v>201</v>
      </c>
      <c r="J31" s="18">
        <v>1.5</v>
      </c>
      <c r="K31" s="16" t="s">
        <v>251</v>
      </c>
      <c r="L31" s="16" t="s">
        <v>365</v>
      </c>
      <c r="M31" s="11" t="s">
        <v>110</v>
      </c>
      <c r="N31" s="20">
        <v>0.0</v>
      </c>
      <c r="O31" s="16"/>
    </row>
    <row r="32" ht="33.75" customHeight="1">
      <c r="A32" s="11" t="s">
        <v>366</v>
      </c>
      <c r="B32" s="11">
        <v>2.0</v>
      </c>
      <c r="C32" s="14">
        <f>'Tổng quan'!$C$5+B32-1</f>
        <v>46317</v>
      </c>
      <c r="D32" s="16" t="s">
        <v>262</v>
      </c>
      <c r="E32" s="16" t="s">
        <v>367</v>
      </c>
      <c r="F32" s="16" t="s">
        <v>368</v>
      </c>
      <c r="G32" s="11" t="s">
        <v>42</v>
      </c>
      <c r="H32" s="11" t="s">
        <v>41</v>
      </c>
      <c r="I32" s="11" t="s">
        <v>43</v>
      </c>
      <c r="J32" s="18">
        <v>2.0</v>
      </c>
      <c r="K32" s="16" t="s">
        <v>282</v>
      </c>
      <c r="L32" s="16" t="s">
        <v>369</v>
      </c>
      <c r="M32" s="11" t="s">
        <v>110</v>
      </c>
      <c r="N32" s="20">
        <v>0.0</v>
      </c>
      <c r="O32" s="16"/>
    </row>
    <row r="33" ht="24.75" customHeight="1">
      <c r="A33" s="11" t="s">
        <v>370</v>
      </c>
      <c r="B33" s="11">
        <v>2.0</v>
      </c>
      <c r="C33" s="14">
        <f>'Tổng quan'!$C$5+B33-1</f>
        <v>46317</v>
      </c>
      <c r="D33" s="16" t="s">
        <v>89</v>
      </c>
      <c r="E33" s="16" t="s">
        <v>375</v>
      </c>
      <c r="F33" s="16" t="s">
        <v>376</v>
      </c>
      <c r="G33" s="11" t="s">
        <v>68</v>
      </c>
      <c r="H33" s="11" t="s">
        <v>41</v>
      </c>
      <c r="I33" s="11" t="s">
        <v>43</v>
      </c>
      <c r="J33" s="18">
        <v>1.5</v>
      </c>
      <c r="K33" s="16" t="s">
        <v>247</v>
      </c>
      <c r="L33" s="16" t="s">
        <v>377</v>
      </c>
      <c r="M33" s="11" t="s">
        <v>110</v>
      </c>
      <c r="N33" s="20">
        <v>0.0</v>
      </c>
      <c r="O33" s="16"/>
    </row>
    <row r="34" ht="33.75" customHeight="1">
      <c r="A34" s="11" t="s">
        <v>380</v>
      </c>
      <c r="B34" s="11">
        <v>2.0</v>
      </c>
      <c r="C34" s="14">
        <f>'Tổng quan'!$C$5+B34-1</f>
        <v>46317</v>
      </c>
      <c r="D34" s="16" t="s">
        <v>89</v>
      </c>
      <c r="E34" s="16" t="s">
        <v>385</v>
      </c>
      <c r="F34" s="16" t="s">
        <v>386</v>
      </c>
      <c r="G34" s="11" t="s">
        <v>68</v>
      </c>
      <c r="H34" s="11" t="s">
        <v>41</v>
      </c>
      <c r="I34" s="11" t="s">
        <v>43</v>
      </c>
      <c r="J34" s="18">
        <v>2.0</v>
      </c>
      <c r="K34" s="16" t="s">
        <v>388</v>
      </c>
      <c r="L34" s="16" t="s">
        <v>389</v>
      </c>
      <c r="M34" s="11" t="s">
        <v>110</v>
      </c>
      <c r="N34" s="20">
        <v>0.0</v>
      </c>
      <c r="O34" s="16"/>
    </row>
    <row r="35" ht="33.75" customHeight="1">
      <c r="A35" s="11" t="s">
        <v>392</v>
      </c>
      <c r="B35" s="11">
        <v>2.0</v>
      </c>
      <c r="C35" s="14">
        <f>'Tổng quan'!$C$5+B35-1</f>
        <v>46317</v>
      </c>
      <c r="D35" s="16" t="s">
        <v>89</v>
      </c>
      <c r="E35" s="16" t="s">
        <v>397</v>
      </c>
      <c r="F35" s="16" t="s">
        <v>399</v>
      </c>
      <c r="G35" s="11" t="s">
        <v>68</v>
      </c>
      <c r="H35" s="11" t="s">
        <v>41</v>
      </c>
      <c r="I35" s="11" t="s">
        <v>43</v>
      </c>
      <c r="J35" s="18">
        <v>1.5</v>
      </c>
      <c r="K35" s="16" t="s">
        <v>402</v>
      </c>
      <c r="L35" s="16" t="s">
        <v>403</v>
      </c>
      <c r="M35" s="11" t="s">
        <v>110</v>
      </c>
      <c r="N35" s="20">
        <v>0.0</v>
      </c>
      <c r="O35" s="16"/>
    </row>
    <row r="36" ht="63.75" customHeight="1">
      <c r="A36" s="11" t="s">
        <v>406</v>
      </c>
      <c r="B36" s="11">
        <v>2.0</v>
      </c>
      <c r="C36" s="14">
        <f>'Tổng quan'!$C$5+B36-1</f>
        <v>46317</v>
      </c>
      <c r="D36" s="16" t="s">
        <v>166</v>
      </c>
      <c r="E36" s="16" t="s">
        <v>409</v>
      </c>
      <c r="F36" s="16" t="s">
        <v>410</v>
      </c>
      <c r="G36" s="11" t="s">
        <v>42</v>
      </c>
      <c r="H36" s="11" t="s">
        <v>41</v>
      </c>
      <c r="I36" s="11" t="s">
        <v>43</v>
      </c>
      <c r="J36" s="18">
        <v>1.5</v>
      </c>
      <c r="K36" s="16" t="s">
        <v>159</v>
      </c>
      <c r="L36" s="16" t="s">
        <v>171</v>
      </c>
      <c r="M36" s="11" t="s">
        <v>110</v>
      </c>
      <c r="N36" s="20">
        <v>0.0</v>
      </c>
      <c r="O36" s="16" t="s">
        <v>415</v>
      </c>
    </row>
    <row r="37" ht="48.75" customHeight="1">
      <c r="A37" s="11" t="s">
        <v>416</v>
      </c>
      <c r="B37" s="11">
        <v>2.0</v>
      </c>
      <c r="C37" s="14">
        <f>'Tổng quan'!$C$5+B37-1</f>
        <v>46317</v>
      </c>
      <c r="D37" s="16" t="s">
        <v>166</v>
      </c>
      <c r="E37" s="16" t="s">
        <v>422</v>
      </c>
      <c r="F37" s="16" t="s">
        <v>423</v>
      </c>
      <c r="G37" s="11" t="s">
        <v>41</v>
      </c>
      <c r="H37" s="11" t="s">
        <v>42</v>
      </c>
      <c r="I37" s="11" t="s">
        <v>43</v>
      </c>
      <c r="J37" s="18">
        <v>2.0</v>
      </c>
      <c r="K37" s="16" t="s">
        <v>159</v>
      </c>
      <c r="L37" s="16" t="s">
        <v>171</v>
      </c>
      <c r="M37" s="11" t="s">
        <v>110</v>
      </c>
      <c r="N37" s="20">
        <v>0.0</v>
      </c>
      <c r="O37" s="16" t="s">
        <v>428</v>
      </c>
    </row>
    <row r="38" ht="48.75" customHeight="1">
      <c r="A38" s="11" t="s">
        <v>430</v>
      </c>
      <c r="B38" s="11">
        <v>2.0</v>
      </c>
      <c r="C38" s="14">
        <f>'Tổng quan'!$C$5+B38-1</f>
        <v>46317</v>
      </c>
      <c r="D38" s="16" t="s">
        <v>223</v>
      </c>
      <c r="E38" s="16" t="s">
        <v>433</v>
      </c>
      <c r="F38" s="16" t="s">
        <v>434</v>
      </c>
      <c r="G38" s="11" t="s">
        <v>42</v>
      </c>
      <c r="H38" s="11" t="s">
        <v>41</v>
      </c>
      <c r="I38" s="11" t="s">
        <v>43</v>
      </c>
      <c r="J38" s="18">
        <v>0.5</v>
      </c>
      <c r="K38" s="16" t="s">
        <v>438</v>
      </c>
      <c r="L38" s="16" t="s">
        <v>211</v>
      </c>
      <c r="M38" s="11" t="s">
        <v>110</v>
      </c>
      <c r="N38" s="20">
        <v>0.0</v>
      </c>
      <c r="O38" s="16" t="s">
        <v>439</v>
      </c>
    </row>
    <row r="39" ht="33.75" customHeight="1">
      <c r="A39" s="11" t="s">
        <v>440</v>
      </c>
      <c r="B39" s="11">
        <v>3.0</v>
      </c>
      <c r="C39" s="14">
        <f>'Tổng quan'!$C$5+B39-1</f>
        <v>46318</v>
      </c>
      <c r="D39" s="16" t="s">
        <v>262</v>
      </c>
      <c r="E39" s="16" t="s">
        <v>444</v>
      </c>
      <c r="F39" s="16" t="s">
        <v>445</v>
      </c>
      <c r="G39" s="11" t="s">
        <v>41</v>
      </c>
      <c r="H39" s="11" t="s">
        <v>42</v>
      </c>
      <c r="I39" s="11" t="s">
        <v>43</v>
      </c>
      <c r="J39" s="18">
        <v>1.5</v>
      </c>
      <c r="K39" s="16" t="s">
        <v>282</v>
      </c>
      <c r="L39" s="16" t="s">
        <v>447</v>
      </c>
      <c r="M39" s="11" t="s">
        <v>110</v>
      </c>
      <c r="N39" s="20">
        <v>0.0</v>
      </c>
      <c r="O39" s="16"/>
    </row>
    <row r="40" ht="33.75" customHeight="1">
      <c r="A40" s="11" t="s">
        <v>449</v>
      </c>
      <c r="B40" s="11">
        <v>3.0</v>
      </c>
      <c r="C40" s="14">
        <f>'Tổng quan'!$C$5+B40-1</f>
        <v>46318</v>
      </c>
      <c r="D40" s="16" t="s">
        <v>454</v>
      </c>
      <c r="E40" s="16" t="s">
        <v>455</v>
      </c>
      <c r="F40" s="16" t="s">
        <v>457</v>
      </c>
      <c r="G40" s="11" t="s">
        <v>41</v>
      </c>
      <c r="H40" s="11" t="s">
        <v>42</v>
      </c>
      <c r="I40" s="11" t="s">
        <v>201</v>
      </c>
      <c r="J40" s="18">
        <v>1.5</v>
      </c>
      <c r="K40" s="16" t="s">
        <v>303</v>
      </c>
      <c r="L40" s="16" t="s">
        <v>460</v>
      </c>
      <c r="M40" s="11" t="s">
        <v>110</v>
      </c>
      <c r="N40" s="20">
        <v>0.0</v>
      </c>
      <c r="O40" s="16" t="s">
        <v>462</v>
      </c>
    </row>
    <row r="41" ht="48.75" customHeight="1">
      <c r="A41" s="11" t="s">
        <v>463</v>
      </c>
      <c r="B41" s="11">
        <v>3.0</v>
      </c>
      <c r="C41" s="14">
        <f>'Tổng quan'!$C$5+B41-1</f>
        <v>46318</v>
      </c>
      <c r="D41" s="16" t="s">
        <v>240</v>
      </c>
      <c r="E41" s="16" t="s">
        <v>469</v>
      </c>
      <c r="F41" s="16" t="s">
        <v>470</v>
      </c>
      <c r="G41" s="11" t="s">
        <v>42</v>
      </c>
      <c r="H41" s="11" t="s">
        <v>41</v>
      </c>
      <c r="I41" s="11" t="s">
        <v>43</v>
      </c>
      <c r="J41" s="18">
        <v>2.0</v>
      </c>
      <c r="K41" s="16" t="s">
        <v>113</v>
      </c>
      <c r="L41" s="16" t="s">
        <v>243</v>
      </c>
      <c r="M41" s="11" t="s">
        <v>110</v>
      </c>
      <c r="N41" s="20">
        <v>0.0</v>
      </c>
      <c r="O41" s="16"/>
    </row>
    <row r="42" ht="33.75" customHeight="1">
      <c r="A42" s="11" t="s">
        <v>474</v>
      </c>
      <c r="B42" s="11">
        <v>3.0</v>
      </c>
      <c r="C42" s="14">
        <f>'Tổng quan'!$C$5+B42-1</f>
        <v>46318</v>
      </c>
      <c r="D42" s="16" t="s">
        <v>240</v>
      </c>
      <c r="E42" s="16" t="s">
        <v>477</v>
      </c>
      <c r="F42" s="16" t="s">
        <v>478</v>
      </c>
      <c r="G42" s="11" t="s">
        <v>42</v>
      </c>
      <c r="H42" s="11" t="s">
        <v>41</v>
      </c>
      <c r="I42" s="11" t="s">
        <v>43</v>
      </c>
      <c r="J42" s="18">
        <v>1.5</v>
      </c>
      <c r="K42" s="16" t="s">
        <v>479</v>
      </c>
      <c r="L42" s="16" t="s">
        <v>243</v>
      </c>
      <c r="M42" s="11" t="s">
        <v>110</v>
      </c>
      <c r="N42" s="20">
        <v>0.0</v>
      </c>
      <c r="O42" s="16"/>
    </row>
    <row r="43" ht="33.75" customHeight="1">
      <c r="A43" s="11" t="s">
        <v>480</v>
      </c>
      <c r="B43" s="11">
        <v>3.0</v>
      </c>
      <c r="C43" s="14">
        <f>'Tổng quan'!$C$5+B43-1</f>
        <v>46318</v>
      </c>
      <c r="D43" s="16" t="s">
        <v>89</v>
      </c>
      <c r="E43" s="16" t="s">
        <v>481</v>
      </c>
      <c r="F43" s="16" t="s">
        <v>482</v>
      </c>
      <c r="G43" s="11" t="s">
        <v>68</v>
      </c>
      <c r="H43" s="11" t="s">
        <v>41</v>
      </c>
      <c r="I43" s="11" t="s">
        <v>43</v>
      </c>
      <c r="J43" s="18">
        <v>2.0</v>
      </c>
      <c r="K43" s="16" t="s">
        <v>440</v>
      </c>
      <c r="L43" s="16" t="s">
        <v>483</v>
      </c>
      <c r="M43" s="11" t="s">
        <v>110</v>
      </c>
      <c r="N43" s="20">
        <v>0.0</v>
      </c>
      <c r="O43" s="16"/>
    </row>
    <row r="44" ht="33.75" customHeight="1">
      <c r="A44" s="11" t="s">
        <v>484</v>
      </c>
      <c r="B44" s="11">
        <v>3.0</v>
      </c>
      <c r="C44" s="14">
        <f>'Tổng quan'!$C$5+B44-1</f>
        <v>46318</v>
      </c>
      <c r="D44" s="16" t="s">
        <v>89</v>
      </c>
      <c r="E44" s="16" t="s">
        <v>486</v>
      </c>
      <c r="F44" s="16" t="s">
        <v>487</v>
      </c>
      <c r="G44" s="11" t="s">
        <v>68</v>
      </c>
      <c r="H44" s="11" t="s">
        <v>41</v>
      </c>
      <c r="I44" s="11" t="s">
        <v>43</v>
      </c>
      <c r="J44" s="18">
        <v>2.0</v>
      </c>
      <c r="K44" s="16" t="s">
        <v>261</v>
      </c>
      <c r="L44" s="16" t="s">
        <v>483</v>
      </c>
      <c r="M44" s="11" t="s">
        <v>110</v>
      </c>
      <c r="N44" s="20">
        <v>0.0</v>
      </c>
      <c r="O44" s="16"/>
    </row>
    <row r="45" ht="33.75" customHeight="1">
      <c r="A45" s="11" t="s">
        <v>488</v>
      </c>
      <c r="B45" s="11">
        <v>3.0</v>
      </c>
      <c r="C45" s="14">
        <f>'Tổng quan'!$C$5+B45-1</f>
        <v>46318</v>
      </c>
      <c r="D45" s="16" t="s">
        <v>240</v>
      </c>
      <c r="E45" s="16" t="s">
        <v>496</v>
      </c>
      <c r="F45" s="16" t="s">
        <v>497</v>
      </c>
      <c r="G45" s="11" t="s">
        <v>42</v>
      </c>
      <c r="H45" s="11" t="s">
        <v>41</v>
      </c>
      <c r="I45" s="11" t="s">
        <v>43</v>
      </c>
      <c r="J45" s="18">
        <v>2.0</v>
      </c>
      <c r="K45" s="16" t="s">
        <v>498</v>
      </c>
      <c r="L45" s="16" t="s">
        <v>243</v>
      </c>
      <c r="M45" s="11" t="s">
        <v>110</v>
      </c>
      <c r="N45" s="20">
        <v>0.0</v>
      </c>
      <c r="O45" s="16"/>
    </row>
    <row r="46" ht="33.75" customHeight="1">
      <c r="A46" s="11" t="s">
        <v>499</v>
      </c>
      <c r="B46" s="11">
        <v>3.0</v>
      </c>
      <c r="C46" s="14">
        <f>'Tổng quan'!$C$5+B46-1</f>
        <v>46318</v>
      </c>
      <c r="D46" s="16" t="s">
        <v>89</v>
      </c>
      <c r="E46" s="16" t="s">
        <v>502</v>
      </c>
      <c r="F46" s="16" t="s">
        <v>504</v>
      </c>
      <c r="G46" s="11" t="s">
        <v>68</v>
      </c>
      <c r="H46" s="11" t="s">
        <v>42</v>
      </c>
      <c r="I46" s="11" t="s">
        <v>43</v>
      </c>
      <c r="J46" s="18">
        <v>1.0</v>
      </c>
      <c r="K46" s="16" t="s">
        <v>474</v>
      </c>
      <c r="L46" s="16" t="s">
        <v>511</v>
      </c>
      <c r="M46" s="11" t="s">
        <v>110</v>
      </c>
      <c r="N46" s="20">
        <v>0.0</v>
      </c>
      <c r="O46" s="16"/>
    </row>
    <row r="47" ht="33.75" customHeight="1">
      <c r="A47" s="11" t="s">
        <v>513</v>
      </c>
      <c r="B47" s="11">
        <v>3.0</v>
      </c>
      <c r="C47" s="14">
        <f>'Tổng quan'!$C$5+B47-1</f>
        <v>46318</v>
      </c>
      <c r="D47" s="16" t="s">
        <v>89</v>
      </c>
      <c r="E47" s="16" t="s">
        <v>517</v>
      </c>
      <c r="F47" s="16" t="s">
        <v>518</v>
      </c>
      <c r="G47" s="11" t="s">
        <v>68</v>
      </c>
      <c r="H47" s="11" t="s">
        <v>41</v>
      </c>
      <c r="I47" s="11" t="s">
        <v>43</v>
      </c>
      <c r="J47" s="18">
        <v>1.5</v>
      </c>
      <c r="K47" s="16" t="s">
        <v>366</v>
      </c>
      <c r="L47" s="16" t="s">
        <v>483</v>
      </c>
      <c r="M47" s="11" t="s">
        <v>110</v>
      </c>
      <c r="N47" s="20">
        <v>0.0</v>
      </c>
      <c r="O47" s="16"/>
    </row>
    <row r="48" ht="33.75" customHeight="1">
      <c r="A48" s="11" t="s">
        <v>523</v>
      </c>
      <c r="B48" s="11">
        <v>3.0</v>
      </c>
      <c r="C48" s="14">
        <f>'Tổng quan'!$C$5+B48-1</f>
        <v>46318</v>
      </c>
      <c r="D48" s="16" t="s">
        <v>529</v>
      </c>
      <c r="E48" s="16" t="s">
        <v>530</v>
      </c>
      <c r="F48" s="16" t="s">
        <v>531</v>
      </c>
      <c r="G48" s="11" t="s">
        <v>41</v>
      </c>
      <c r="H48" s="11" t="s">
        <v>42</v>
      </c>
      <c r="I48" s="11" t="s">
        <v>201</v>
      </c>
      <c r="J48" s="18">
        <v>2.0</v>
      </c>
      <c r="K48" s="16" t="s">
        <v>388</v>
      </c>
      <c r="L48" s="16" t="s">
        <v>535</v>
      </c>
      <c r="M48" s="11" t="s">
        <v>110</v>
      </c>
      <c r="N48" s="20">
        <v>0.0</v>
      </c>
      <c r="O48" s="16" t="s">
        <v>536</v>
      </c>
    </row>
    <row r="49" ht="63.75" customHeight="1">
      <c r="A49" s="11" t="s">
        <v>537</v>
      </c>
      <c r="B49" s="11">
        <v>3.0</v>
      </c>
      <c r="C49" s="14">
        <f>'Tổng quan'!$C$5+B49-1</f>
        <v>46318</v>
      </c>
      <c r="D49" s="16" t="s">
        <v>541</v>
      </c>
      <c r="E49" s="16" t="s">
        <v>542</v>
      </c>
      <c r="F49" s="16" t="s">
        <v>543</v>
      </c>
      <c r="G49" s="11" t="s">
        <v>42</v>
      </c>
      <c r="H49" s="11" t="s">
        <v>41</v>
      </c>
      <c r="I49" s="11" t="s">
        <v>43</v>
      </c>
      <c r="J49" s="18">
        <v>1.0</v>
      </c>
      <c r="K49" s="16" t="s">
        <v>523</v>
      </c>
      <c r="L49" s="16" t="s">
        <v>544</v>
      </c>
      <c r="M49" s="11" t="s">
        <v>110</v>
      </c>
      <c r="N49" s="20">
        <v>0.0</v>
      </c>
      <c r="O49" s="16"/>
    </row>
    <row r="50" ht="24.75" customHeight="1">
      <c r="A50" s="11" t="s">
        <v>545</v>
      </c>
      <c r="B50" s="11">
        <v>3.0</v>
      </c>
      <c r="C50" s="14">
        <f>'Tổng quan'!$C$5+B50-1</f>
        <v>46318</v>
      </c>
      <c r="D50" s="16" t="s">
        <v>89</v>
      </c>
      <c r="E50" s="16" t="s">
        <v>549</v>
      </c>
      <c r="F50" s="16" t="s">
        <v>550</v>
      </c>
      <c r="G50" s="11" t="s">
        <v>68</v>
      </c>
      <c r="H50" s="11" t="s">
        <v>41</v>
      </c>
      <c r="I50" s="11" t="s">
        <v>201</v>
      </c>
      <c r="J50" s="18">
        <v>1.0</v>
      </c>
      <c r="K50" s="16" t="s">
        <v>366</v>
      </c>
      <c r="L50" s="16" t="s">
        <v>483</v>
      </c>
      <c r="M50" s="11" t="s">
        <v>110</v>
      </c>
      <c r="N50" s="20">
        <v>0.0</v>
      </c>
      <c r="O50" s="16"/>
    </row>
    <row r="51" ht="33.75" customHeight="1">
      <c r="A51" s="11" t="s">
        <v>555</v>
      </c>
      <c r="B51" s="11">
        <v>3.0</v>
      </c>
      <c r="C51" s="14">
        <f>'Tổng quan'!$C$5+B51-1</f>
        <v>46318</v>
      </c>
      <c r="D51" s="16" t="s">
        <v>454</v>
      </c>
      <c r="E51" s="16" t="s">
        <v>558</v>
      </c>
      <c r="F51" s="16" t="s">
        <v>559</v>
      </c>
      <c r="G51" s="11" t="s">
        <v>41</v>
      </c>
      <c r="H51" s="11" t="s">
        <v>42</v>
      </c>
      <c r="I51" s="11" t="s">
        <v>43</v>
      </c>
      <c r="J51" s="18">
        <v>1.0</v>
      </c>
      <c r="K51" s="16" t="s">
        <v>523</v>
      </c>
      <c r="L51" s="16" t="s">
        <v>560</v>
      </c>
      <c r="M51" s="11" t="s">
        <v>110</v>
      </c>
      <c r="N51" s="20">
        <v>0.0</v>
      </c>
      <c r="O51" s="16"/>
    </row>
    <row r="52" ht="48.75" customHeight="1">
      <c r="A52" s="11" t="s">
        <v>561</v>
      </c>
      <c r="B52" s="11">
        <v>3.0</v>
      </c>
      <c r="C52" s="14">
        <f>'Tổng quan'!$C$5+B52-1</f>
        <v>46318</v>
      </c>
      <c r="D52" s="16" t="s">
        <v>166</v>
      </c>
      <c r="E52" s="16" t="s">
        <v>562</v>
      </c>
      <c r="F52" s="16" t="s">
        <v>563</v>
      </c>
      <c r="G52" s="11" t="s">
        <v>42</v>
      </c>
      <c r="H52" s="11" t="s">
        <v>41</v>
      </c>
      <c r="I52" s="11" t="s">
        <v>43</v>
      </c>
      <c r="J52" s="18">
        <v>2.0</v>
      </c>
      <c r="K52" s="16" t="s">
        <v>564</v>
      </c>
      <c r="L52" s="16" t="s">
        <v>171</v>
      </c>
      <c r="M52" s="11" t="s">
        <v>110</v>
      </c>
      <c r="N52" s="20">
        <v>0.0</v>
      </c>
      <c r="O52" s="16"/>
    </row>
    <row r="53" ht="48.75" customHeight="1">
      <c r="A53" s="11" t="s">
        <v>565</v>
      </c>
      <c r="B53" s="11">
        <v>3.0</v>
      </c>
      <c r="C53" s="14">
        <f>'Tổng quan'!$C$5+B53-1</f>
        <v>46318</v>
      </c>
      <c r="D53" s="16" t="s">
        <v>566</v>
      </c>
      <c r="E53" s="16" t="s">
        <v>567</v>
      </c>
      <c r="F53" s="16" t="s">
        <v>568</v>
      </c>
      <c r="G53" s="11" t="s">
        <v>41</v>
      </c>
      <c r="H53" s="11" t="s">
        <v>42</v>
      </c>
      <c r="I53" s="11" t="s">
        <v>43</v>
      </c>
      <c r="J53" s="18">
        <v>1.0</v>
      </c>
      <c r="K53" s="16" t="s">
        <v>523</v>
      </c>
      <c r="L53" s="16" t="s">
        <v>569</v>
      </c>
      <c r="M53" s="11" t="s">
        <v>110</v>
      </c>
      <c r="N53" s="20">
        <v>0.0</v>
      </c>
      <c r="O53" s="16"/>
    </row>
    <row r="54" ht="48.75" customHeight="1">
      <c r="A54" s="11" t="s">
        <v>570</v>
      </c>
      <c r="B54" s="11">
        <v>3.0</v>
      </c>
      <c r="C54" s="14">
        <f>'Tổng quan'!$C$5+B54-1</f>
        <v>46318</v>
      </c>
      <c r="D54" s="16" t="s">
        <v>240</v>
      </c>
      <c r="E54" s="16" t="s">
        <v>571</v>
      </c>
      <c r="F54" s="16" t="s">
        <v>572</v>
      </c>
      <c r="G54" s="11" t="s">
        <v>42</v>
      </c>
      <c r="H54" s="11" t="s">
        <v>41</v>
      </c>
      <c r="I54" s="11" t="s">
        <v>201</v>
      </c>
      <c r="J54" s="18">
        <v>1.0</v>
      </c>
      <c r="K54" s="16" t="s">
        <v>573</v>
      </c>
      <c r="L54" s="16" t="s">
        <v>574</v>
      </c>
      <c r="M54" s="11" t="s">
        <v>110</v>
      </c>
      <c r="N54" s="20">
        <v>0.0</v>
      </c>
      <c r="O54" s="16" t="s">
        <v>575</v>
      </c>
    </row>
    <row r="55" ht="48.75" customHeight="1">
      <c r="A55" s="11" t="s">
        <v>576</v>
      </c>
      <c r="B55" s="11">
        <v>3.0</v>
      </c>
      <c r="C55" s="14">
        <f>'Tổng quan'!$C$5+B55-1</f>
        <v>46318</v>
      </c>
      <c r="D55" s="16" t="s">
        <v>60</v>
      </c>
      <c r="E55" s="16" t="s">
        <v>577</v>
      </c>
      <c r="F55" s="16" t="s">
        <v>578</v>
      </c>
      <c r="G55" s="11" t="s">
        <v>41</v>
      </c>
      <c r="H55" s="11" t="s">
        <v>42</v>
      </c>
      <c r="I55" s="11" t="s">
        <v>201</v>
      </c>
      <c r="J55" s="18">
        <v>1.5</v>
      </c>
      <c r="K55" s="16" t="s">
        <v>573</v>
      </c>
      <c r="L55" s="16" t="s">
        <v>579</v>
      </c>
      <c r="M55" s="11" t="s">
        <v>110</v>
      </c>
      <c r="N55" s="20">
        <v>0.0</v>
      </c>
      <c r="O55" s="16" t="s">
        <v>580</v>
      </c>
    </row>
    <row r="56" ht="48.75" customHeight="1">
      <c r="A56" s="11" t="s">
        <v>581</v>
      </c>
      <c r="B56" s="11">
        <v>3.0</v>
      </c>
      <c r="C56" s="14">
        <f>'Tổng quan'!$C$5+B56-1</f>
        <v>46318</v>
      </c>
      <c r="D56" s="16" t="s">
        <v>60</v>
      </c>
      <c r="E56" s="16" t="s">
        <v>587</v>
      </c>
      <c r="F56" s="16" t="s">
        <v>588</v>
      </c>
      <c r="G56" s="11" t="s">
        <v>68</v>
      </c>
      <c r="H56" s="11" t="s">
        <v>41</v>
      </c>
      <c r="I56" s="11" t="s">
        <v>201</v>
      </c>
      <c r="J56" s="18">
        <v>1.0</v>
      </c>
      <c r="K56" s="16" t="s">
        <v>125</v>
      </c>
      <c r="L56" s="16" t="s">
        <v>133</v>
      </c>
      <c r="M56" s="11" t="s">
        <v>110</v>
      </c>
      <c r="N56" s="20">
        <v>0.0</v>
      </c>
      <c r="O56" s="16" t="s">
        <v>594</v>
      </c>
    </row>
    <row r="57" ht="33.75" customHeight="1">
      <c r="A57" s="11" t="s">
        <v>595</v>
      </c>
      <c r="B57" s="11">
        <v>4.0</v>
      </c>
      <c r="C57" s="14">
        <f>'Tổng quan'!$C$5+B57-1</f>
        <v>46319</v>
      </c>
      <c r="D57" s="16" t="s">
        <v>60</v>
      </c>
      <c r="E57" s="16" t="s">
        <v>599</v>
      </c>
      <c r="F57" s="16" t="s">
        <v>600</v>
      </c>
      <c r="G57" s="11" t="s">
        <v>41</v>
      </c>
      <c r="H57" s="11" t="s">
        <v>42</v>
      </c>
      <c r="I57" s="11" t="s">
        <v>43</v>
      </c>
      <c r="J57" s="18">
        <v>1.5</v>
      </c>
      <c r="K57" s="16" t="s">
        <v>523</v>
      </c>
      <c r="L57" s="16" t="s">
        <v>133</v>
      </c>
      <c r="M57" s="11" t="s">
        <v>110</v>
      </c>
      <c r="N57" s="20">
        <v>0.0</v>
      </c>
      <c r="O57" s="16"/>
    </row>
    <row r="58" ht="33.75" customHeight="1">
      <c r="A58" s="11" t="s">
        <v>604</v>
      </c>
      <c r="B58" s="11">
        <v>4.0</v>
      </c>
      <c r="C58" s="14">
        <f>'Tổng quan'!$C$5+B58-1</f>
        <v>46319</v>
      </c>
      <c r="D58" s="16" t="s">
        <v>608</v>
      </c>
      <c r="E58" s="16" t="s">
        <v>609</v>
      </c>
      <c r="F58" s="16" t="s">
        <v>610</v>
      </c>
      <c r="G58" s="11" t="s">
        <v>41</v>
      </c>
      <c r="H58" s="11" t="s">
        <v>42</v>
      </c>
      <c r="I58" s="11" t="s">
        <v>43</v>
      </c>
      <c r="J58" s="18">
        <v>1.0</v>
      </c>
      <c r="K58" s="16" t="s">
        <v>523</v>
      </c>
      <c r="L58" s="16" t="s">
        <v>46</v>
      </c>
      <c r="M58" s="11" t="s">
        <v>110</v>
      </c>
      <c r="N58" s="20">
        <v>0.0</v>
      </c>
      <c r="O58" s="16"/>
    </row>
    <row r="59" ht="33.75" customHeight="1">
      <c r="A59" s="11" t="s">
        <v>615</v>
      </c>
      <c r="B59" s="11">
        <v>4.0</v>
      </c>
      <c r="C59" s="14">
        <f>'Tổng quan'!$C$5+B59-1</f>
        <v>46319</v>
      </c>
      <c r="D59" s="16" t="s">
        <v>608</v>
      </c>
      <c r="E59" s="16" t="s">
        <v>619</v>
      </c>
      <c r="F59" s="16" t="s">
        <v>620</v>
      </c>
      <c r="G59" s="11" t="s">
        <v>42</v>
      </c>
      <c r="H59" s="11" t="s">
        <v>41</v>
      </c>
      <c r="I59" s="11" t="s">
        <v>43</v>
      </c>
      <c r="J59" s="18">
        <v>1.5</v>
      </c>
      <c r="K59" s="16" t="s">
        <v>595</v>
      </c>
      <c r="L59" s="16" t="s">
        <v>46</v>
      </c>
      <c r="M59" s="11" t="s">
        <v>110</v>
      </c>
      <c r="N59" s="20">
        <v>0.0</v>
      </c>
      <c r="O59" s="16" t="s">
        <v>228</v>
      </c>
    </row>
    <row r="60" ht="33.75" customHeight="1">
      <c r="A60" s="11" t="s">
        <v>624</v>
      </c>
      <c r="B60" s="11">
        <v>4.0</v>
      </c>
      <c r="C60" s="14">
        <f>'Tổng quan'!$C$5+B60-1</f>
        <v>46319</v>
      </c>
      <c r="D60" s="16" t="s">
        <v>608</v>
      </c>
      <c r="E60" s="16" t="s">
        <v>627</v>
      </c>
      <c r="F60" s="16" t="s">
        <v>628</v>
      </c>
      <c r="G60" s="11" t="s">
        <v>68</v>
      </c>
      <c r="H60" s="11" t="s">
        <v>41</v>
      </c>
      <c r="I60" s="11" t="s">
        <v>43</v>
      </c>
      <c r="J60" s="18">
        <v>1.0</v>
      </c>
      <c r="K60" s="16" t="s">
        <v>545</v>
      </c>
      <c r="L60" s="16" t="s">
        <v>46</v>
      </c>
      <c r="M60" s="11" t="s">
        <v>110</v>
      </c>
      <c r="N60" s="20">
        <v>0.0</v>
      </c>
      <c r="O60" s="16"/>
    </row>
    <row r="61" ht="24.75" customHeight="1">
      <c r="A61" s="11" t="s">
        <v>633</v>
      </c>
      <c r="B61" s="11">
        <v>4.0</v>
      </c>
      <c r="C61" s="14">
        <f>'Tổng quan'!$C$5+B61-1</f>
        <v>46319</v>
      </c>
      <c r="D61" s="16" t="s">
        <v>636</v>
      </c>
      <c r="E61" s="16" t="s">
        <v>637</v>
      </c>
      <c r="F61" s="16" t="s">
        <v>639</v>
      </c>
      <c r="G61" s="11" t="s">
        <v>42</v>
      </c>
      <c r="H61" s="11" t="s">
        <v>41</v>
      </c>
      <c r="I61" s="11" t="s">
        <v>43</v>
      </c>
      <c r="J61" s="18">
        <v>1.5</v>
      </c>
      <c r="K61" s="16" t="s">
        <v>643</v>
      </c>
      <c r="L61" s="16" t="s">
        <v>644</v>
      </c>
      <c r="M61" s="11" t="s">
        <v>110</v>
      </c>
      <c r="N61" s="20">
        <v>0.0</v>
      </c>
      <c r="O61" s="16"/>
    </row>
    <row r="62" ht="24.75" customHeight="1">
      <c r="A62" s="11" t="s">
        <v>647</v>
      </c>
      <c r="B62" s="11">
        <v>4.0</v>
      </c>
      <c r="C62" s="14">
        <f>'Tổng quan'!$C$5+B62-1</f>
        <v>46319</v>
      </c>
      <c r="D62" s="16" t="s">
        <v>636</v>
      </c>
      <c r="E62" s="16" t="s">
        <v>651</v>
      </c>
      <c r="F62" s="16" t="s">
        <v>652</v>
      </c>
      <c r="G62" s="11" t="s">
        <v>68</v>
      </c>
      <c r="H62" s="11" t="s">
        <v>41</v>
      </c>
      <c r="I62" s="11" t="s">
        <v>43</v>
      </c>
      <c r="J62" s="18">
        <v>1.0</v>
      </c>
      <c r="K62" s="16" t="s">
        <v>624</v>
      </c>
      <c r="L62" s="16" t="s">
        <v>654</v>
      </c>
      <c r="M62" s="11" t="s">
        <v>110</v>
      </c>
      <c r="N62" s="20">
        <v>0.0</v>
      </c>
      <c r="O62" s="16"/>
    </row>
    <row r="63" ht="24.75" customHeight="1">
      <c r="A63" s="11" t="s">
        <v>656</v>
      </c>
      <c r="B63" s="11">
        <v>4.0</v>
      </c>
      <c r="C63" s="14">
        <f>'Tổng quan'!$C$5+B63-1</f>
        <v>46319</v>
      </c>
      <c r="D63" s="16" t="s">
        <v>35</v>
      </c>
      <c r="E63" s="16" t="s">
        <v>658</v>
      </c>
      <c r="F63" s="16" t="s">
        <v>660</v>
      </c>
      <c r="G63" s="11" t="s">
        <v>41</v>
      </c>
      <c r="H63" s="11" t="s">
        <v>42</v>
      </c>
      <c r="I63" s="11" t="s">
        <v>43</v>
      </c>
      <c r="J63" s="18">
        <v>0.5</v>
      </c>
      <c r="K63" s="16" t="s">
        <v>662</v>
      </c>
      <c r="L63" s="16" t="s">
        <v>663</v>
      </c>
      <c r="M63" s="11" t="s">
        <v>110</v>
      </c>
      <c r="N63" s="20">
        <v>0.0</v>
      </c>
      <c r="O63" s="16"/>
    </row>
    <row r="64" ht="48.75" customHeight="1">
      <c r="A64" s="11" t="s">
        <v>665</v>
      </c>
      <c r="B64" s="11">
        <v>4.0</v>
      </c>
      <c r="C64" s="14">
        <f>'Tổng quan'!$C$5+B64-1</f>
        <v>46319</v>
      </c>
      <c r="D64" s="16" t="s">
        <v>670</v>
      </c>
      <c r="E64" s="16" t="s">
        <v>671</v>
      </c>
      <c r="F64" s="16" t="s">
        <v>672</v>
      </c>
      <c r="G64" s="11" t="s">
        <v>42</v>
      </c>
      <c r="H64" s="11" t="s">
        <v>68</v>
      </c>
      <c r="I64" s="11" t="s">
        <v>43</v>
      </c>
      <c r="J64" s="18">
        <v>1.5</v>
      </c>
      <c r="K64" s="16" t="s">
        <v>656</v>
      </c>
      <c r="L64" s="16" t="s">
        <v>681</v>
      </c>
      <c r="M64" s="11" t="s">
        <v>110</v>
      </c>
      <c r="N64" s="20">
        <v>0.0</v>
      </c>
      <c r="O64" s="16"/>
    </row>
    <row r="65" ht="33.75" customHeight="1">
      <c r="A65" s="11" t="s">
        <v>688</v>
      </c>
      <c r="B65" s="11">
        <v>4.0</v>
      </c>
      <c r="C65" s="14">
        <f>'Tổng quan'!$C$5+B65-1</f>
        <v>46319</v>
      </c>
      <c r="D65" s="16" t="s">
        <v>566</v>
      </c>
      <c r="E65" s="16" t="s">
        <v>706</v>
      </c>
      <c r="F65" s="16" t="s">
        <v>707</v>
      </c>
      <c r="G65" s="11" t="s">
        <v>68</v>
      </c>
      <c r="H65" s="11" t="s">
        <v>41</v>
      </c>
      <c r="I65" s="11" t="s">
        <v>43</v>
      </c>
      <c r="J65" s="18">
        <v>2.0</v>
      </c>
      <c r="K65" s="16" t="s">
        <v>715</v>
      </c>
      <c r="L65" s="16" t="s">
        <v>717</v>
      </c>
      <c r="M65" s="11" t="s">
        <v>110</v>
      </c>
      <c r="N65" s="20">
        <v>0.0</v>
      </c>
      <c r="O65" s="16"/>
    </row>
    <row r="66" ht="48.75" customHeight="1">
      <c r="A66" s="11" t="s">
        <v>723</v>
      </c>
      <c r="B66" s="11">
        <v>4.0</v>
      </c>
      <c r="C66" s="14">
        <f>'Tổng quan'!$C$5+B66-1</f>
        <v>46319</v>
      </c>
      <c r="D66" s="16" t="s">
        <v>35</v>
      </c>
      <c r="E66" s="16" t="s">
        <v>734</v>
      </c>
      <c r="F66" s="16" t="s">
        <v>735</v>
      </c>
      <c r="G66" s="11" t="s">
        <v>41</v>
      </c>
      <c r="H66" s="11" t="s">
        <v>42</v>
      </c>
      <c r="I66" s="11" t="s">
        <v>43</v>
      </c>
      <c r="J66" s="18">
        <v>1.0</v>
      </c>
      <c r="K66" s="16" t="s">
        <v>741</v>
      </c>
      <c r="L66" s="16" t="s">
        <v>663</v>
      </c>
      <c r="M66" s="11" t="s">
        <v>110</v>
      </c>
      <c r="N66" s="20">
        <v>0.0</v>
      </c>
      <c r="O66" s="16"/>
    </row>
    <row r="67" ht="33.75" customHeight="1">
      <c r="A67" s="11" t="s">
        <v>753</v>
      </c>
      <c r="B67" s="11">
        <v>4.0</v>
      </c>
      <c r="C67" s="14">
        <f>'Tổng quan'!$C$5+B67-1</f>
        <v>46319</v>
      </c>
      <c r="D67" s="16" t="s">
        <v>166</v>
      </c>
      <c r="E67" s="16" t="s">
        <v>761</v>
      </c>
      <c r="F67" s="16" t="s">
        <v>763</v>
      </c>
      <c r="G67" s="11" t="s">
        <v>68</v>
      </c>
      <c r="H67" s="11" t="s">
        <v>41</v>
      </c>
      <c r="I67" s="11" t="s">
        <v>43</v>
      </c>
      <c r="J67" s="18">
        <v>2.0</v>
      </c>
      <c r="K67" s="16" t="s">
        <v>769</v>
      </c>
      <c r="L67" s="16" t="s">
        <v>171</v>
      </c>
      <c r="M67" s="11" t="s">
        <v>110</v>
      </c>
      <c r="N67" s="20">
        <v>0.0</v>
      </c>
      <c r="O67" s="16"/>
    </row>
    <row r="68" ht="48.75" customHeight="1">
      <c r="A68" s="11" t="s">
        <v>775</v>
      </c>
      <c r="B68" s="11">
        <v>4.0</v>
      </c>
      <c r="C68" s="14">
        <f>'Tổng quan'!$C$5+B68-1</f>
        <v>46319</v>
      </c>
      <c r="D68" s="16" t="s">
        <v>166</v>
      </c>
      <c r="E68" s="16" t="s">
        <v>783</v>
      </c>
      <c r="F68" s="16" t="s">
        <v>784</v>
      </c>
      <c r="G68" s="11" t="s">
        <v>41</v>
      </c>
      <c r="H68" s="11" t="s">
        <v>68</v>
      </c>
      <c r="I68" s="11" t="s">
        <v>43</v>
      </c>
      <c r="J68" s="18">
        <v>1.0</v>
      </c>
      <c r="K68" s="16" t="s">
        <v>656</v>
      </c>
      <c r="L68" s="16" t="s">
        <v>171</v>
      </c>
      <c r="M68" s="11" t="s">
        <v>110</v>
      </c>
      <c r="N68" s="20">
        <v>0.0</v>
      </c>
      <c r="O68" s="16"/>
    </row>
    <row r="69" ht="63.75" customHeight="1">
      <c r="A69" s="11" t="s">
        <v>785</v>
      </c>
      <c r="B69" s="11">
        <v>4.0</v>
      </c>
      <c r="C69" s="14">
        <f>'Tổng quan'!$C$5+B69-1</f>
        <v>46319</v>
      </c>
      <c r="D69" s="16" t="s">
        <v>166</v>
      </c>
      <c r="E69" s="16" t="s">
        <v>786</v>
      </c>
      <c r="F69" s="16" t="s">
        <v>787</v>
      </c>
      <c r="G69" s="11" t="s">
        <v>41</v>
      </c>
      <c r="H69" s="11" t="s">
        <v>68</v>
      </c>
      <c r="I69" s="11" t="s">
        <v>43</v>
      </c>
      <c r="J69" s="18">
        <v>2.0</v>
      </c>
      <c r="K69" s="16" t="s">
        <v>788</v>
      </c>
      <c r="L69" s="16" t="s">
        <v>171</v>
      </c>
      <c r="M69" s="11" t="s">
        <v>110</v>
      </c>
      <c r="N69" s="20">
        <v>0.0</v>
      </c>
      <c r="O69" s="16" t="s">
        <v>789</v>
      </c>
    </row>
    <row r="70" ht="48.75" customHeight="1">
      <c r="A70" s="11" t="s">
        <v>790</v>
      </c>
      <c r="B70" s="11">
        <v>4.0</v>
      </c>
      <c r="C70" s="14">
        <f>'Tổng quan'!$C$5+B70-1</f>
        <v>46319</v>
      </c>
      <c r="D70" s="16" t="s">
        <v>541</v>
      </c>
      <c r="E70" s="16" t="s">
        <v>791</v>
      </c>
      <c r="F70" s="16" t="s">
        <v>792</v>
      </c>
      <c r="G70" s="11" t="s">
        <v>42</v>
      </c>
      <c r="H70" s="11" t="s">
        <v>41</v>
      </c>
      <c r="I70" s="11" t="s">
        <v>43</v>
      </c>
      <c r="J70" s="18">
        <v>1.0</v>
      </c>
      <c r="K70" s="16" t="s">
        <v>656</v>
      </c>
      <c r="L70" s="16" t="s">
        <v>663</v>
      </c>
      <c r="M70" s="11" t="s">
        <v>110</v>
      </c>
      <c r="N70" s="20">
        <v>0.0</v>
      </c>
      <c r="O70" s="16"/>
    </row>
    <row r="71" ht="48.75" customHeight="1">
      <c r="A71" s="11" t="s">
        <v>793</v>
      </c>
      <c r="B71" s="11">
        <v>4.0</v>
      </c>
      <c r="C71" s="14">
        <f>'Tổng quan'!$C$5+B71-1</f>
        <v>46319</v>
      </c>
      <c r="D71" s="16" t="s">
        <v>566</v>
      </c>
      <c r="E71" s="16" t="s">
        <v>794</v>
      </c>
      <c r="F71" s="16" t="s">
        <v>795</v>
      </c>
      <c r="G71" s="11" t="s">
        <v>41</v>
      </c>
      <c r="H71" s="11" t="s">
        <v>42</v>
      </c>
      <c r="I71" s="11" t="s">
        <v>43</v>
      </c>
      <c r="J71" s="18">
        <v>1.0</v>
      </c>
      <c r="K71" s="16" t="s">
        <v>796</v>
      </c>
      <c r="L71" s="16" t="s">
        <v>46</v>
      </c>
      <c r="M71" s="11" t="s">
        <v>110</v>
      </c>
      <c r="N71" s="20">
        <v>0.0</v>
      </c>
      <c r="O71" s="16"/>
    </row>
    <row r="72" ht="33.75" customHeight="1">
      <c r="A72" s="11" t="s">
        <v>797</v>
      </c>
      <c r="B72" s="11">
        <v>4.0</v>
      </c>
      <c r="C72" s="14">
        <f>'Tổng quan'!$C$5+B72-1</f>
        <v>46319</v>
      </c>
      <c r="D72" s="16" t="s">
        <v>566</v>
      </c>
      <c r="E72" s="16" t="s">
        <v>798</v>
      </c>
      <c r="F72" s="16" t="s">
        <v>799</v>
      </c>
      <c r="G72" s="11" t="s">
        <v>42</v>
      </c>
      <c r="H72" s="11" t="s">
        <v>41</v>
      </c>
      <c r="I72" s="11" t="s">
        <v>43</v>
      </c>
      <c r="J72" s="18">
        <v>1.0</v>
      </c>
      <c r="K72" s="16" t="s">
        <v>796</v>
      </c>
      <c r="L72" s="16" t="s">
        <v>46</v>
      </c>
      <c r="M72" s="11" t="s">
        <v>110</v>
      </c>
      <c r="N72" s="20">
        <v>0.0</v>
      </c>
      <c r="O72" s="16"/>
    </row>
    <row r="73" ht="33.75" customHeight="1">
      <c r="A73" s="11" t="s">
        <v>800</v>
      </c>
      <c r="B73" s="11">
        <v>4.0</v>
      </c>
      <c r="C73" s="14">
        <f>'Tổng quan'!$C$5+B73-1</f>
        <v>46319</v>
      </c>
      <c r="D73" s="16" t="s">
        <v>566</v>
      </c>
      <c r="E73" s="16" t="s">
        <v>801</v>
      </c>
      <c r="F73" s="16" t="s">
        <v>802</v>
      </c>
      <c r="G73" s="11" t="s">
        <v>68</v>
      </c>
      <c r="H73" s="11" t="s">
        <v>41</v>
      </c>
      <c r="I73" s="11" t="s">
        <v>43</v>
      </c>
      <c r="J73" s="18">
        <v>1.0</v>
      </c>
      <c r="K73" s="16" t="s">
        <v>796</v>
      </c>
      <c r="L73" s="16" t="s">
        <v>46</v>
      </c>
      <c r="M73" s="11" t="s">
        <v>110</v>
      </c>
      <c r="N73" s="20">
        <v>0.0</v>
      </c>
      <c r="O73" s="16"/>
    </row>
    <row r="74" ht="48.75" customHeight="1">
      <c r="A74" s="11" t="s">
        <v>803</v>
      </c>
      <c r="B74" s="11">
        <v>4.0</v>
      </c>
      <c r="C74" s="14">
        <f>'Tổng quan'!$C$5+B74-1</f>
        <v>46319</v>
      </c>
      <c r="D74" s="16" t="s">
        <v>566</v>
      </c>
      <c r="E74" s="16" t="s">
        <v>804</v>
      </c>
      <c r="F74" s="16" t="s">
        <v>805</v>
      </c>
      <c r="G74" s="11" t="s">
        <v>42</v>
      </c>
      <c r="H74" s="11" t="s">
        <v>41</v>
      </c>
      <c r="I74" s="11" t="s">
        <v>43</v>
      </c>
      <c r="J74" s="18">
        <v>2.0</v>
      </c>
      <c r="K74" s="16" t="s">
        <v>806</v>
      </c>
      <c r="L74" s="16" t="s">
        <v>46</v>
      </c>
      <c r="M74" s="11" t="s">
        <v>110</v>
      </c>
      <c r="N74" s="20">
        <v>0.0</v>
      </c>
      <c r="O74" s="16"/>
    </row>
    <row r="75" ht="48.75" customHeight="1">
      <c r="A75" s="11" t="s">
        <v>807</v>
      </c>
      <c r="B75" s="11">
        <v>4.0</v>
      </c>
      <c r="C75" s="14">
        <f>'Tổng quan'!$C$5+B75-1</f>
        <v>46319</v>
      </c>
      <c r="D75" s="16" t="s">
        <v>608</v>
      </c>
      <c r="E75" s="16" t="s">
        <v>808</v>
      </c>
      <c r="F75" s="16" t="s">
        <v>809</v>
      </c>
      <c r="G75" s="11" t="s">
        <v>68</v>
      </c>
      <c r="H75" s="11" t="s">
        <v>41</v>
      </c>
      <c r="I75" s="11" t="s">
        <v>43</v>
      </c>
      <c r="J75" s="18">
        <v>1.0</v>
      </c>
      <c r="K75" s="16" t="s">
        <v>810</v>
      </c>
      <c r="L75" s="16" t="s">
        <v>46</v>
      </c>
      <c r="M75" s="11" t="s">
        <v>110</v>
      </c>
      <c r="N75" s="20">
        <v>0.0</v>
      </c>
      <c r="O75" s="16"/>
    </row>
    <row r="76" ht="14.25" customHeight="1">
      <c r="G76" s="32"/>
      <c r="H76" s="32"/>
      <c r="I76" s="32"/>
      <c r="M76" s="32"/>
      <c r="N76" s="32"/>
    </row>
    <row r="77" ht="14.25" customHeight="1">
      <c r="G77" s="32"/>
      <c r="H77" s="32"/>
      <c r="I77" s="32"/>
      <c r="M77" s="32"/>
      <c r="N77" s="32"/>
    </row>
    <row r="78" ht="14.25" customHeight="1">
      <c r="G78" s="32"/>
      <c r="H78" s="32"/>
      <c r="I78" s="32"/>
      <c r="M78" s="32"/>
      <c r="N78" s="32"/>
    </row>
    <row r="79" ht="14.25" customHeight="1">
      <c r="G79" s="32"/>
      <c r="H79" s="32"/>
      <c r="I79" s="32"/>
      <c r="M79" s="32"/>
      <c r="N79" s="32"/>
    </row>
    <row r="80" ht="14.25" customHeight="1">
      <c r="G80" s="32"/>
      <c r="H80" s="32"/>
      <c r="I80" s="32"/>
      <c r="M80" s="32"/>
      <c r="N80" s="32"/>
    </row>
    <row r="81" ht="14.25" customHeight="1">
      <c r="G81" s="32"/>
      <c r="H81" s="32"/>
      <c r="I81" s="32"/>
      <c r="M81" s="32"/>
      <c r="N81" s="32"/>
    </row>
    <row r="82" ht="14.25" customHeight="1">
      <c r="G82" s="32"/>
      <c r="H82" s="32"/>
      <c r="I82" s="32"/>
      <c r="M82" s="32"/>
      <c r="N82" s="32"/>
    </row>
    <row r="83" ht="14.25" customHeight="1">
      <c r="G83" s="32"/>
      <c r="H83" s="32"/>
      <c r="I83" s="32"/>
      <c r="M83" s="32"/>
      <c r="N83" s="32"/>
    </row>
    <row r="84" ht="14.25" customHeight="1">
      <c r="G84" s="32"/>
      <c r="H84" s="32"/>
      <c r="I84" s="32"/>
      <c r="M84" s="32"/>
      <c r="N84" s="32"/>
    </row>
    <row r="85" ht="14.25" customHeight="1">
      <c r="G85" s="32"/>
      <c r="H85" s="32"/>
      <c r="I85" s="32"/>
      <c r="M85" s="32"/>
      <c r="N85" s="32"/>
    </row>
    <row r="86" ht="14.25" customHeight="1">
      <c r="G86" s="32"/>
      <c r="H86" s="32"/>
      <c r="I86" s="32"/>
      <c r="M86" s="32"/>
      <c r="N86" s="32"/>
    </row>
    <row r="87" ht="14.25" customHeight="1">
      <c r="G87" s="32"/>
      <c r="H87" s="32"/>
      <c r="I87" s="32"/>
      <c r="M87" s="32"/>
      <c r="N87" s="32"/>
    </row>
    <row r="88" ht="14.25" customHeight="1">
      <c r="G88" s="32"/>
      <c r="H88" s="32"/>
      <c r="I88" s="32"/>
      <c r="M88" s="32"/>
      <c r="N88" s="32"/>
    </row>
    <row r="89" ht="14.25" customHeight="1">
      <c r="G89" s="32"/>
      <c r="H89" s="32"/>
      <c r="I89" s="32"/>
      <c r="M89" s="32"/>
      <c r="N89" s="32"/>
    </row>
    <row r="90" ht="14.25" customHeight="1">
      <c r="G90" s="32"/>
      <c r="H90" s="32"/>
      <c r="I90" s="32"/>
      <c r="M90" s="32"/>
      <c r="N90" s="32"/>
    </row>
    <row r="91" ht="14.25" customHeight="1">
      <c r="G91" s="32"/>
      <c r="H91" s="32"/>
      <c r="I91" s="32"/>
      <c r="M91" s="32"/>
      <c r="N91" s="32"/>
    </row>
    <row r="92" ht="14.25" customHeight="1">
      <c r="G92" s="32"/>
      <c r="H92" s="32"/>
      <c r="I92" s="32"/>
      <c r="M92" s="32"/>
      <c r="N92" s="32"/>
    </row>
    <row r="93" ht="14.25" customHeight="1">
      <c r="G93" s="32"/>
      <c r="H93" s="32"/>
      <c r="I93" s="32"/>
      <c r="M93" s="32"/>
      <c r="N93" s="32"/>
    </row>
    <row r="94" ht="14.25" customHeight="1">
      <c r="G94" s="32"/>
      <c r="H94" s="32"/>
      <c r="I94" s="32"/>
      <c r="M94" s="32"/>
      <c r="N94" s="32"/>
    </row>
    <row r="95" ht="14.25" customHeight="1">
      <c r="G95" s="32"/>
      <c r="H95" s="32"/>
      <c r="I95" s="32"/>
      <c r="M95" s="32"/>
      <c r="N95" s="32"/>
    </row>
    <row r="96" ht="14.25" customHeight="1">
      <c r="G96" s="32"/>
      <c r="H96" s="32"/>
      <c r="I96" s="32"/>
      <c r="M96" s="32"/>
      <c r="N96" s="32"/>
    </row>
    <row r="97" ht="14.25" customHeight="1">
      <c r="G97" s="32"/>
      <c r="H97" s="32"/>
      <c r="I97" s="32"/>
      <c r="M97" s="32"/>
      <c r="N97" s="32"/>
    </row>
    <row r="98" ht="14.25" customHeight="1">
      <c r="G98" s="32"/>
      <c r="H98" s="32"/>
      <c r="I98" s="32"/>
      <c r="M98" s="32"/>
      <c r="N98" s="32"/>
    </row>
    <row r="99" ht="14.25" customHeight="1">
      <c r="G99" s="32"/>
      <c r="H99" s="32"/>
      <c r="I99" s="32"/>
      <c r="M99" s="32"/>
      <c r="N99" s="32"/>
    </row>
    <row r="100" ht="14.25" customHeight="1">
      <c r="G100" s="32"/>
      <c r="H100" s="32"/>
      <c r="I100" s="32"/>
      <c r="M100" s="32"/>
      <c r="N100" s="32"/>
    </row>
    <row r="101" ht="14.25" customHeight="1">
      <c r="G101" s="32"/>
      <c r="H101" s="32"/>
      <c r="I101" s="32"/>
      <c r="M101" s="32"/>
      <c r="N101" s="32"/>
    </row>
    <row r="102" ht="14.25" customHeight="1">
      <c r="G102" s="32"/>
      <c r="H102" s="32"/>
      <c r="I102" s="32"/>
      <c r="M102" s="32"/>
      <c r="N102" s="32"/>
    </row>
    <row r="103" ht="14.25" customHeight="1">
      <c r="G103" s="32"/>
      <c r="H103" s="32"/>
      <c r="I103" s="32"/>
      <c r="M103" s="32"/>
      <c r="N103" s="32"/>
    </row>
    <row r="104" ht="14.25" customHeight="1">
      <c r="G104" s="32"/>
      <c r="H104" s="32"/>
      <c r="I104" s="32"/>
      <c r="M104" s="32"/>
      <c r="N104" s="32"/>
    </row>
    <row r="105" ht="14.25" customHeight="1">
      <c r="G105" s="32"/>
      <c r="H105" s="32"/>
      <c r="I105" s="32"/>
      <c r="M105" s="32"/>
      <c r="N105" s="32"/>
    </row>
    <row r="106" ht="14.25" customHeight="1">
      <c r="G106" s="32"/>
      <c r="H106" s="32"/>
      <c r="I106" s="32"/>
      <c r="M106" s="32"/>
      <c r="N106" s="32"/>
    </row>
    <row r="107" ht="14.25" customHeight="1">
      <c r="G107" s="32"/>
      <c r="H107" s="32"/>
      <c r="I107" s="32"/>
      <c r="M107" s="32"/>
      <c r="N107" s="32"/>
    </row>
    <row r="108" ht="14.25" customHeight="1">
      <c r="G108" s="32"/>
      <c r="H108" s="32"/>
      <c r="I108" s="32"/>
      <c r="M108" s="32"/>
      <c r="N108" s="32"/>
    </row>
    <row r="109" ht="14.25" customHeight="1">
      <c r="G109" s="32"/>
      <c r="H109" s="32"/>
      <c r="I109" s="32"/>
      <c r="M109" s="32"/>
      <c r="N109" s="32"/>
    </row>
    <row r="110" ht="14.25" customHeight="1">
      <c r="G110" s="32"/>
      <c r="H110" s="32"/>
      <c r="I110" s="32"/>
      <c r="M110" s="32"/>
      <c r="N110" s="32"/>
    </row>
    <row r="111" ht="14.25" customHeight="1">
      <c r="G111" s="32"/>
      <c r="H111" s="32"/>
      <c r="I111" s="32"/>
      <c r="M111" s="32"/>
      <c r="N111" s="32"/>
    </row>
    <row r="112" ht="14.25" customHeight="1">
      <c r="G112" s="32"/>
      <c r="H112" s="32"/>
      <c r="I112" s="32"/>
      <c r="M112" s="32"/>
      <c r="N112" s="32"/>
    </row>
    <row r="113" ht="14.25" customHeight="1">
      <c r="G113" s="32"/>
      <c r="H113" s="32"/>
      <c r="I113" s="32"/>
      <c r="M113" s="32"/>
      <c r="N113" s="32"/>
    </row>
    <row r="114" ht="14.25" customHeight="1">
      <c r="G114" s="32"/>
      <c r="H114" s="32"/>
      <c r="I114" s="32"/>
      <c r="M114" s="32"/>
      <c r="N114" s="32"/>
    </row>
    <row r="115" ht="14.25" customHeight="1">
      <c r="G115" s="32"/>
      <c r="H115" s="32"/>
      <c r="I115" s="32"/>
      <c r="M115" s="32"/>
      <c r="N115" s="32"/>
    </row>
    <row r="116" ht="14.25" customHeight="1">
      <c r="G116" s="32"/>
      <c r="H116" s="32"/>
      <c r="I116" s="32"/>
      <c r="M116" s="32"/>
      <c r="N116" s="32"/>
    </row>
    <row r="117" ht="14.25" customHeight="1">
      <c r="G117" s="32"/>
      <c r="H117" s="32"/>
      <c r="I117" s="32"/>
      <c r="M117" s="32"/>
      <c r="N117" s="32"/>
    </row>
    <row r="118" ht="14.25" customHeight="1">
      <c r="G118" s="32"/>
      <c r="H118" s="32"/>
      <c r="I118" s="32"/>
      <c r="M118" s="32"/>
      <c r="N118" s="32"/>
    </row>
    <row r="119" ht="14.25" customHeight="1">
      <c r="G119" s="32"/>
      <c r="H119" s="32"/>
      <c r="I119" s="32"/>
      <c r="M119" s="32"/>
      <c r="N119" s="32"/>
    </row>
    <row r="120" ht="14.25" customHeight="1">
      <c r="G120" s="32"/>
      <c r="H120" s="32"/>
      <c r="I120" s="32"/>
      <c r="M120" s="32"/>
      <c r="N120" s="32"/>
    </row>
    <row r="121" ht="14.25" customHeight="1">
      <c r="G121" s="32"/>
      <c r="H121" s="32"/>
      <c r="I121" s="32"/>
      <c r="M121" s="32"/>
      <c r="N121" s="32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75"/>
  <conditionalFormatting sqref="M2:M1000">
    <cfRule type="cellIs" dxfId="0" priority="1" operator="equal">
      <formula>"Hoàn thành"</formula>
    </cfRule>
  </conditionalFormatting>
  <conditionalFormatting sqref="M2:M1000">
    <cfRule type="cellIs" dxfId="2" priority="2" operator="equal">
      <formula>"Đang làm"</formula>
    </cfRule>
  </conditionalFormatting>
  <conditionalFormatting sqref="M2:M1000">
    <cfRule type="cellIs" dxfId="3" priority="3" operator="equal">
      <formula>"Đang review"</formula>
    </cfRule>
  </conditionalFormatting>
  <conditionalFormatting sqref="M2:M1000">
    <cfRule type="cellIs" dxfId="1" priority="4" operator="equal">
      <formula>"Bị chặn"</formula>
    </cfRule>
  </conditionalFormatting>
  <conditionalFormatting sqref="I2:I1000">
    <cfRule type="cellIs" dxfId="4" priority="5" operator="equal">
      <formula>"Cao"</formula>
    </cfRule>
  </conditionalFormatting>
  <dataValidations>
    <dataValidation type="list" allowBlank="1" sqref="I2:I121">
      <formula1>"Cao,TB,Thấp"</formula1>
    </dataValidation>
    <dataValidation type="list" allowBlank="1" sqref="M2:M121">
      <formula1>"Chưa bắt đầu,Đang làm,Đang review,Hoàn thành,Bị chặn"</formula1>
    </dataValidation>
    <dataValidation type="list" allowBlank="1" sqref="G2:H121">
      <formula1>"Hữu Nam,Thành Trung,Kiệt"</formula1>
    </dataValidation>
    <dataValidation type="decimal" allowBlank="1" sqref="N2:N121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38.0"/>
    <col customWidth="1" min="4" max="6" width="14.0"/>
    <col customWidth="1" min="7" max="7" width="10.0"/>
    <col customWidth="1" min="8" max="8" width="9.0"/>
    <col customWidth="1" min="9" max="11" width="34.0"/>
    <col customWidth="1" min="12" max="26" width="8.57"/>
  </cols>
  <sheetData>
    <row r="1" ht="31.5" customHeight="1">
      <c r="A1" s="3" t="s">
        <v>1</v>
      </c>
      <c r="B1" s="3" t="s">
        <v>5</v>
      </c>
      <c r="C1" s="3" t="s">
        <v>7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16</v>
      </c>
      <c r="J1" s="3" t="s">
        <v>17</v>
      </c>
      <c r="K1" s="3" t="s">
        <v>18</v>
      </c>
    </row>
    <row r="2" ht="61.5" customHeight="1">
      <c r="A2" s="11">
        <v>1.0</v>
      </c>
      <c r="B2" s="14">
        <f>'Tổng quan'!$C$5+A2-1</f>
        <v>46316</v>
      </c>
      <c r="C2" s="16" t="s">
        <v>38</v>
      </c>
      <c r="D2" s="21">
        <f>SUMIFS('Phân công'!$J$2:$J$121,'Phân công'!$B$2:$B$121,$A2,'Phân công'!$G$2:$G$121,"Hữu Nam")</f>
        <v>8</v>
      </c>
      <c r="E2" s="21">
        <f>SUMIFS('Phân công'!$J$2:$J$121,'Phân công'!$B$2:$B$121,$A2,'Phân công'!$G$2:$G$121,"Thành Trung")</f>
        <v>8</v>
      </c>
      <c r="F2" s="21">
        <f>SUMIFS('Phân công'!$J$2:$J$121,'Phân công'!$B$2:$B$121,$A2,'Phân công'!$G$2:$G$121,"Kiệt")</f>
        <v>8.5</v>
      </c>
      <c r="G2" s="21">
        <f t="shared" ref="G2:G5" si="1">SUM(D2:F2)</f>
        <v>24.5</v>
      </c>
      <c r="H2" s="11">
        <f>COUNTIF('Phân công'!$B$2:$B$121,$A2)</f>
        <v>19</v>
      </c>
      <c r="I2" s="16" t="s">
        <v>118</v>
      </c>
      <c r="J2" s="16" t="s">
        <v>119</v>
      </c>
      <c r="K2" s="16" t="s">
        <v>121</v>
      </c>
    </row>
    <row r="3" ht="61.5" customHeight="1">
      <c r="A3" s="11">
        <v>2.0</v>
      </c>
      <c r="B3" s="14">
        <f>'Tổng quan'!$C$5+A3-1</f>
        <v>46317</v>
      </c>
      <c r="C3" s="16" t="s">
        <v>127</v>
      </c>
      <c r="D3" s="21">
        <f>SUMIFS('Phân công'!$J$2:$J$121,'Phân công'!$B$2:$B$121,$A3,'Phân công'!$G$2:$G$121,"Hữu Nam")</f>
        <v>9.5</v>
      </c>
      <c r="E3" s="21">
        <f>SUMIFS('Phân công'!$J$2:$J$121,'Phân công'!$B$2:$B$121,$A3,'Phân công'!$G$2:$G$121,"Thành Trung")</f>
        <v>9</v>
      </c>
      <c r="F3" s="21">
        <f>SUMIFS('Phân công'!$J$2:$J$121,'Phân công'!$B$2:$B$121,$A3,'Phân công'!$G$2:$G$121,"Kiệt")</f>
        <v>8.5</v>
      </c>
      <c r="G3" s="21">
        <f t="shared" si="1"/>
        <v>27</v>
      </c>
      <c r="H3" s="11">
        <f>COUNTIF('Phân công'!$B$2:$B$121,$A3)</f>
        <v>18</v>
      </c>
      <c r="I3" s="16" t="s">
        <v>157</v>
      </c>
      <c r="J3" s="16" t="s">
        <v>158</v>
      </c>
      <c r="K3" s="16" t="s">
        <v>160</v>
      </c>
    </row>
    <row r="4" ht="61.5" customHeight="1">
      <c r="A4" s="11">
        <v>3.0</v>
      </c>
      <c r="B4" s="14">
        <f>'Tổng quan'!$C$5+A4-1</f>
        <v>46318</v>
      </c>
      <c r="C4" s="16" t="s">
        <v>172</v>
      </c>
      <c r="D4" s="21">
        <f>SUMIFS('Phân công'!$J$2:$J$121,'Phân công'!$B$2:$B$121,$A4,'Phân công'!$G$2:$G$121,"Hữu Nam")</f>
        <v>8.5</v>
      </c>
      <c r="E4" s="21">
        <f>SUMIFS('Phân công'!$J$2:$J$121,'Phân công'!$B$2:$B$121,$A4,'Phân công'!$G$2:$G$121,"Thành Trung")</f>
        <v>9.5</v>
      </c>
      <c r="F4" s="21">
        <f>SUMIFS('Phân công'!$J$2:$J$121,'Phân công'!$B$2:$B$121,$A4,'Phân công'!$G$2:$G$121,"Kiệt")</f>
        <v>8.5</v>
      </c>
      <c r="G4" s="21">
        <f t="shared" si="1"/>
        <v>26.5</v>
      </c>
      <c r="H4" s="11">
        <f>COUNTIF('Phân công'!$B$2:$B$121,$A4)</f>
        <v>18</v>
      </c>
      <c r="I4" s="16" t="s">
        <v>187</v>
      </c>
      <c r="J4" s="16" t="s">
        <v>189</v>
      </c>
      <c r="K4" s="16" t="s">
        <v>190</v>
      </c>
    </row>
    <row r="5" ht="61.5" customHeight="1">
      <c r="A5" s="11">
        <v>4.0</v>
      </c>
      <c r="B5" s="14">
        <f>'Tổng quan'!$C$5+A5-1</f>
        <v>46319</v>
      </c>
      <c r="C5" s="16" t="s">
        <v>191</v>
      </c>
      <c r="D5" s="21">
        <f>SUMIFS('Phân công'!$J$2:$J$121,'Phân công'!$B$2:$B$121,$A5,'Phân công'!$G$2:$G$121,"Hữu Nam")</f>
        <v>8</v>
      </c>
      <c r="E5" s="21">
        <f>SUMIFS('Phân công'!$J$2:$J$121,'Phân công'!$B$2:$B$121,$A5,'Phân công'!$G$2:$G$121,"Thành Trung")</f>
        <v>8.5</v>
      </c>
      <c r="F5" s="21">
        <f>SUMIFS('Phân công'!$J$2:$J$121,'Phân công'!$B$2:$B$121,$A5,'Phân công'!$G$2:$G$121,"Kiệt")</f>
        <v>8</v>
      </c>
      <c r="G5" s="21">
        <f t="shared" si="1"/>
        <v>24.5</v>
      </c>
      <c r="H5" s="11">
        <f>COUNTIF('Phân công'!$B$2:$B$121,$A5)</f>
        <v>19</v>
      </c>
      <c r="I5" s="16" t="s">
        <v>206</v>
      </c>
      <c r="J5" s="16" t="s">
        <v>208</v>
      </c>
      <c r="K5" s="16" t="s">
        <v>209</v>
      </c>
    </row>
    <row r="6" ht="43.5" customHeight="1">
      <c r="A6" s="8"/>
      <c r="B6" s="8"/>
      <c r="C6" s="8" t="s">
        <v>213</v>
      </c>
      <c r="D6" s="34">
        <f t="shared" ref="D6:H6" si="2">SUM(D2:D5)</f>
        <v>34</v>
      </c>
      <c r="E6" s="34">
        <f t="shared" si="2"/>
        <v>35</v>
      </c>
      <c r="F6" s="34">
        <f t="shared" si="2"/>
        <v>33.5</v>
      </c>
      <c r="G6" s="34">
        <f t="shared" si="2"/>
        <v>102.5</v>
      </c>
      <c r="H6" s="34">
        <f t="shared" si="2"/>
        <v>74</v>
      </c>
      <c r="I6" s="8"/>
      <c r="J6" s="8"/>
      <c r="K6" s="8"/>
    </row>
    <row r="7" ht="43.5" customHeight="1"/>
    <row r="8" ht="43.5" customHeight="1"/>
    <row r="9" ht="43.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44.0"/>
    <col customWidth="1" min="3" max="3" width="58.0"/>
    <col customWidth="1" min="4" max="4" width="24.0"/>
    <col customWidth="1" min="5" max="5" width="20.0"/>
    <col customWidth="1" min="6" max="6" width="32.0"/>
    <col customWidth="1" min="7" max="26" width="8.71"/>
  </cols>
  <sheetData>
    <row r="1">
      <c r="A1" s="2" t="s">
        <v>276</v>
      </c>
    </row>
    <row r="2" ht="30.0" customHeight="1">
      <c r="A2" s="37" t="s">
        <v>279</v>
      </c>
    </row>
    <row r="4">
      <c r="A4" s="38" t="s">
        <v>49</v>
      </c>
      <c r="B4" s="38" t="s">
        <v>283</v>
      </c>
      <c r="C4" s="38" t="s">
        <v>284</v>
      </c>
      <c r="D4" s="38" t="s">
        <v>285</v>
      </c>
      <c r="E4" s="38" t="s">
        <v>286</v>
      </c>
      <c r="F4" s="38" t="s">
        <v>287</v>
      </c>
    </row>
    <row r="5" ht="43.5" customHeight="1">
      <c r="A5" s="39">
        <v>1.0</v>
      </c>
      <c r="B5" s="40" t="s">
        <v>291</v>
      </c>
      <c r="C5" s="40" t="s">
        <v>292</v>
      </c>
      <c r="D5" s="40" t="s">
        <v>293</v>
      </c>
      <c r="E5" s="40" t="s">
        <v>295</v>
      </c>
      <c r="F5" s="40" t="s">
        <v>296</v>
      </c>
    </row>
    <row r="6" ht="43.5" customHeight="1">
      <c r="A6" s="39">
        <v>2.0</v>
      </c>
      <c r="B6" s="40" t="s">
        <v>297</v>
      </c>
      <c r="C6" s="40" t="s">
        <v>298</v>
      </c>
      <c r="D6" s="40" t="s">
        <v>299</v>
      </c>
      <c r="E6" s="40" t="s">
        <v>301</v>
      </c>
      <c r="F6" s="40" t="s">
        <v>302</v>
      </c>
    </row>
    <row r="7" ht="43.5" customHeight="1">
      <c r="A7" s="39">
        <v>3.0</v>
      </c>
      <c r="B7" s="40" t="s">
        <v>304</v>
      </c>
      <c r="C7" s="40" t="s">
        <v>305</v>
      </c>
      <c r="D7" s="40" t="s">
        <v>306</v>
      </c>
      <c r="E7" s="40" t="s">
        <v>307</v>
      </c>
      <c r="F7" s="40" t="s">
        <v>308</v>
      </c>
    </row>
    <row r="8" ht="43.5" customHeight="1">
      <c r="A8" s="39">
        <v>4.0</v>
      </c>
      <c r="B8" s="40" t="s">
        <v>309</v>
      </c>
      <c r="C8" s="40" t="s">
        <v>310</v>
      </c>
      <c r="D8" s="40" t="s">
        <v>311</v>
      </c>
      <c r="E8" s="40" t="s">
        <v>307</v>
      </c>
      <c r="F8" s="40" t="s">
        <v>312</v>
      </c>
    </row>
    <row r="9" ht="43.5" customHeight="1">
      <c r="A9" s="39">
        <v>5.0</v>
      </c>
      <c r="B9" s="40" t="s">
        <v>313</v>
      </c>
      <c r="C9" s="40" t="s">
        <v>314</v>
      </c>
      <c r="D9" s="40" t="s">
        <v>315</v>
      </c>
      <c r="E9" s="40" t="s">
        <v>307</v>
      </c>
      <c r="F9" s="40" t="s">
        <v>312</v>
      </c>
    </row>
    <row r="10" ht="43.5" customHeight="1">
      <c r="A10" s="39">
        <v>6.0</v>
      </c>
      <c r="B10" s="40" t="s">
        <v>319</v>
      </c>
      <c r="C10" s="40" t="s">
        <v>320</v>
      </c>
      <c r="D10" s="40" t="s">
        <v>321</v>
      </c>
      <c r="E10" s="40" t="s">
        <v>307</v>
      </c>
      <c r="F10" s="40" t="s">
        <v>312</v>
      </c>
    </row>
    <row r="11" ht="43.5" customHeight="1">
      <c r="A11" s="39">
        <v>7.0</v>
      </c>
      <c r="B11" s="40" t="s">
        <v>322</v>
      </c>
      <c r="C11" s="40" t="s">
        <v>323</v>
      </c>
      <c r="D11" s="40" t="s">
        <v>324</v>
      </c>
      <c r="E11" s="40" t="s">
        <v>325</v>
      </c>
      <c r="F11" s="40" t="s">
        <v>327</v>
      </c>
    </row>
    <row r="12" ht="43.5" customHeight="1">
      <c r="A12" s="39">
        <v>8.0</v>
      </c>
      <c r="B12" s="40" t="s">
        <v>328</v>
      </c>
      <c r="C12" s="40" t="s">
        <v>329</v>
      </c>
      <c r="D12" s="40" t="s">
        <v>330</v>
      </c>
      <c r="E12" s="40" t="s">
        <v>331</v>
      </c>
      <c r="F12" s="40" t="s">
        <v>332</v>
      </c>
    </row>
    <row r="13" ht="43.5" customHeight="1">
      <c r="A13" s="39">
        <v>9.0</v>
      </c>
      <c r="B13" s="40" t="s">
        <v>334</v>
      </c>
      <c r="C13" s="40" t="s">
        <v>335</v>
      </c>
      <c r="D13" s="40" t="s">
        <v>336</v>
      </c>
      <c r="E13" s="40" t="s">
        <v>337</v>
      </c>
      <c r="F13" s="40" t="s">
        <v>338</v>
      </c>
    </row>
    <row r="14" ht="43.5" customHeight="1">
      <c r="A14" s="39">
        <v>10.0</v>
      </c>
      <c r="B14" s="40" t="s">
        <v>339</v>
      </c>
      <c r="C14" s="40" t="s">
        <v>340</v>
      </c>
      <c r="D14" s="40" t="s">
        <v>341</v>
      </c>
      <c r="E14" s="40" t="s">
        <v>342</v>
      </c>
      <c r="F14" s="40" t="s">
        <v>343</v>
      </c>
    </row>
    <row r="15" ht="43.5" customHeight="1">
      <c r="A15" s="39">
        <v>11.0</v>
      </c>
      <c r="B15" s="40" t="s">
        <v>344</v>
      </c>
      <c r="C15" s="40" t="s">
        <v>345</v>
      </c>
      <c r="D15" s="40" t="s">
        <v>346</v>
      </c>
      <c r="E15" s="40" t="s">
        <v>347</v>
      </c>
      <c r="F15" s="40" t="s">
        <v>348</v>
      </c>
    </row>
    <row r="16" ht="43.5" customHeight="1">
      <c r="A16" s="39">
        <v>12.0</v>
      </c>
      <c r="B16" s="40" t="s">
        <v>349</v>
      </c>
      <c r="C16" s="40" t="s">
        <v>350</v>
      </c>
      <c r="D16" s="40" t="s">
        <v>351</v>
      </c>
      <c r="E16" s="40" t="s">
        <v>353</v>
      </c>
      <c r="F16" s="40" t="s">
        <v>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44.0"/>
    <col customWidth="1" min="3" max="3" width="66.0"/>
    <col customWidth="1" min="4" max="4" width="14.0"/>
    <col customWidth="1" min="5" max="5" width="12.0"/>
    <col customWidth="1" min="6" max="6" width="14.0"/>
    <col customWidth="1" min="7" max="7" width="12.0"/>
    <col customWidth="1" min="8" max="8" width="14.0"/>
    <col customWidth="1" min="9" max="26" width="8.57"/>
  </cols>
  <sheetData>
    <row r="1" ht="18.0" customHeight="1">
      <c r="A1" s="2" t="s">
        <v>359</v>
      </c>
    </row>
    <row r="2" ht="14.25" customHeight="1">
      <c r="A2" s="5" t="s">
        <v>360</v>
      </c>
    </row>
    <row r="3" ht="14.25" customHeight="1">
      <c r="B3" s="7" t="s">
        <v>361</v>
      </c>
      <c r="C3" s="41">
        <f>SUMIF(F6:F16,"Có",E6:E16)</f>
        <v>40</v>
      </c>
      <c r="D3" s="7" t="str">
        <f>IF(AND(C3&gt;=20,C3&lt;=60),"ĐẠT (20–60 trang)","CHƯA ĐẠT – điều chỉnh số trang")</f>
        <v>ĐẠT (20–60 trang)</v>
      </c>
    </row>
    <row r="4" ht="14.25" customHeight="1"/>
    <row r="5" ht="31.5" customHeight="1">
      <c r="A5" s="3" t="s">
        <v>49</v>
      </c>
      <c r="B5" s="3" t="s">
        <v>371</v>
      </c>
      <c r="C5" s="3" t="s">
        <v>372</v>
      </c>
      <c r="D5" s="3" t="s">
        <v>23</v>
      </c>
      <c r="E5" s="3" t="s">
        <v>373</v>
      </c>
      <c r="F5" s="3" t="s">
        <v>374</v>
      </c>
      <c r="G5" s="3" t="s">
        <v>54</v>
      </c>
      <c r="H5" s="3" t="s">
        <v>30</v>
      </c>
    </row>
    <row r="6" ht="24.75" customHeight="1">
      <c r="A6" s="11">
        <v>1.0</v>
      </c>
      <c r="B6" s="16" t="s">
        <v>378</v>
      </c>
      <c r="C6" s="16" t="s">
        <v>379</v>
      </c>
      <c r="D6" s="11" t="s">
        <v>41</v>
      </c>
      <c r="E6" s="42">
        <v>1.0</v>
      </c>
      <c r="F6" s="11" t="s">
        <v>381</v>
      </c>
      <c r="G6" s="11">
        <v>4.0</v>
      </c>
      <c r="H6" s="11" t="s">
        <v>382</v>
      </c>
    </row>
    <row r="7" ht="24.75" customHeight="1">
      <c r="A7" s="11">
        <v>2.0</v>
      </c>
      <c r="B7" s="16" t="s">
        <v>383</v>
      </c>
      <c r="C7" s="16" t="s">
        <v>384</v>
      </c>
      <c r="D7" s="11" t="s">
        <v>68</v>
      </c>
      <c r="E7" s="42">
        <v>4.0</v>
      </c>
      <c r="F7" s="11" t="s">
        <v>381</v>
      </c>
      <c r="G7" s="11">
        <v>4.0</v>
      </c>
      <c r="H7" s="11" t="s">
        <v>382</v>
      </c>
    </row>
    <row r="8" ht="14.25" customHeight="1">
      <c r="A8" s="11">
        <v>3.0</v>
      </c>
      <c r="B8" s="16" t="s">
        <v>387</v>
      </c>
      <c r="C8" s="16" t="s">
        <v>390</v>
      </c>
      <c r="D8" s="11" t="s">
        <v>68</v>
      </c>
      <c r="E8" s="42">
        <v>2.0</v>
      </c>
      <c r="F8" s="11" t="s">
        <v>391</v>
      </c>
      <c r="G8" s="11">
        <v>1.0</v>
      </c>
      <c r="H8" s="11" t="s">
        <v>382</v>
      </c>
    </row>
    <row r="9" ht="14.25" customHeight="1">
      <c r="A9" s="11">
        <v>4.0</v>
      </c>
      <c r="B9" s="16" t="s">
        <v>393</v>
      </c>
      <c r="C9" s="16" t="s">
        <v>394</v>
      </c>
      <c r="D9" s="11" t="s">
        <v>68</v>
      </c>
      <c r="E9" s="42">
        <v>4.0</v>
      </c>
      <c r="F9" s="11" t="s">
        <v>391</v>
      </c>
      <c r="G9" s="11">
        <v>1.0</v>
      </c>
      <c r="H9" s="11" t="s">
        <v>382</v>
      </c>
    </row>
    <row r="10" ht="14.25" customHeight="1">
      <c r="A10" s="11">
        <v>5.0</v>
      </c>
      <c r="B10" s="16" t="s">
        <v>398</v>
      </c>
      <c r="C10" s="16" t="s">
        <v>401</v>
      </c>
      <c r="D10" s="11" t="s">
        <v>42</v>
      </c>
      <c r="E10" s="42">
        <v>7.0</v>
      </c>
      <c r="F10" s="11" t="s">
        <v>391</v>
      </c>
      <c r="G10" s="11">
        <v>2.0</v>
      </c>
      <c r="H10" s="11" t="s">
        <v>382</v>
      </c>
    </row>
    <row r="11" ht="24.75" customHeight="1">
      <c r="A11" s="11">
        <v>6.0</v>
      </c>
      <c r="B11" s="16" t="s">
        <v>404</v>
      </c>
      <c r="C11" s="16" t="s">
        <v>405</v>
      </c>
      <c r="D11" s="11" t="s">
        <v>41</v>
      </c>
      <c r="E11" s="42">
        <v>7.0</v>
      </c>
      <c r="F11" s="11" t="s">
        <v>391</v>
      </c>
      <c r="G11" s="11">
        <v>2.0</v>
      </c>
      <c r="H11" s="11" t="s">
        <v>382</v>
      </c>
    </row>
    <row r="12" ht="14.25" customHeight="1">
      <c r="A12" s="11">
        <v>7.0</v>
      </c>
      <c r="B12" s="16" t="s">
        <v>407</v>
      </c>
      <c r="C12" s="16" t="s">
        <v>408</v>
      </c>
      <c r="D12" s="11" t="s">
        <v>42</v>
      </c>
      <c r="E12" s="42">
        <v>9.0</v>
      </c>
      <c r="F12" s="11" t="s">
        <v>391</v>
      </c>
      <c r="G12" s="11">
        <v>3.0</v>
      </c>
      <c r="H12" s="11" t="s">
        <v>382</v>
      </c>
    </row>
    <row r="13" ht="14.25" customHeight="1">
      <c r="A13" s="11">
        <v>8.0</v>
      </c>
      <c r="B13" s="16" t="s">
        <v>411</v>
      </c>
      <c r="C13" s="16" t="s">
        <v>412</v>
      </c>
      <c r="D13" s="11" t="s">
        <v>68</v>
      </c>
      <c r="E13" s="42">
        <v>8.0</v>
      </c>
      <c r="F13" s="11" t="s">
        <v>391</v>
      </c>
      <c r="G13" s="11">
        <v>4.0</v>
      </c>
      <c r="H13" s="11" t="s">
        <v>382</v>
      </c>
    </row>
    <row r="14" ht="14.25" customHeight="1">
      <c r="A14" s="11">
        <v>9.0</v>
      </c>
      <c r="B14" s="16" t="s">
        <v>413</v>
      </c>
      <c r="C14" s="16" t="s">
        <v>414</v>
      </c>
      <c r="D14" s="11" t="s">
        <v>41</v>
      </c>
      <c r="E14" s="42">
        <v>2.0</v>
      </c>
      <c r="F14" s="11" t="s">
        <v>391</v>
      </c>
      <c r="G14" s="11">
        <v>4.0</v>
      </c>
      <c r="H14" s="11" t="s">
        <v>382</v>
      </c>
    </row>
    <row r="15" ht="14.25" customHeight="1">
      <c r="A15" s="11">
        <v>10.0</v>
      </c>
      <c r="B15" s="16" t="s">
        <v>417</v>
      </c>
      <c r="C15" s="16" t="s">
        <v>418</v>
      </c>
      <c r="D15" s="11" t="s">
        <v>41</v>
      </c>
      <c r="E15" s="42">
        <v>1.0</v>
      </c>
      <c r="F15" s="11" t="s">
        <v>391</v>
      </c>
      <c r="G15" s="11">
        <v>4.0</v>
      </c>
      <c r="H15" s="11" t="s">
        <v>382</v>
      </c>
    </row>
    <row r="16" ht="24.75" customHeight="1">
      <c r="A16" s="11">
        <v>11.0</v>
      </c>
      <c r="B16" s="16" t="s">
        <v>420</v>
      </c>
      <c r="C16" s="16" t="s">
        <v>421</v>
      </c>
      <c r="D16" s="11" t="s">
        <v>41</v>
      </c>
      <c r="E16" s="42">
        <v>6.0</v>
      </c>
      <c r="F16" s="11" t="s">
        <v>381</v>
      </c>
      <c r="G16" s="11">
        <v>4.0</v>
      </c>
      <c r="H16" s="11" t="s">
        <v>382</v>
      </c>
    </row>
    <row r="17" ht="14.25" customHeight="1">
      <c r="F17" s="32"/>
      <c r="H17" s="32"/>
    </row>
    <row r="18" ht="14.25" customHeight="1">
      <c r="F18" s="32"/>
      <c r="H18" s="32"/>
    </row>
    <row r="19" ht="14.25" customHeight="1">
      <c r="F19" s="32"/>
      <c r="H19" s="32"/>
    </row>
    <row r="20" ht="14.25" customHeight="1">
      <c r="F20" s="32"/>
      <c r="H20" s="32"/>
    </row>
    <row r="21" ht="14.25" customHeight="1">
      <c r="F21" s="32"/>
      <c r="H21" s="32"/>
    </row>
    <row r="22" ht="14.25" customHeight="1">
      <c r="F22" s="32"/>
      <c r="H22" s="32"/>
    </row>
    <row r="23" ht="14.25" customHeight="1">
      <c r="F23" s="32"/>
      <c r="H23" s="32"/>
    </row>
    <row r="24" ht="14.25" customHeight="1">
      <c r="F24" s="32"/>
      <c r="H24" s="32"/>
    </row>
    <row r="25" ht="14.25" customHeight="1">
      <c r="F25" s="32"/>
      <c r="H25" s="32"/>
    </row>
    <row r="26" ht="14.25" customHeight="1">
      <c r="F26" s="32"/>
      <c r="H26" s="32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:F3"/>
  </mergeCells>
  <dataValidations>
    <dataValidation type="list" allowBlank="1" sqref="F6:F26">
      <formula1>"Có,Không"</formula1>
    </dataValidation>
    <dataValidation type="list" allowBlank="1" sqref="H6:H26">
      <formula1>"Chưa viết,Đang viết,Đang review,Hoàn thành"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70.0"/>
    <col customWidth="1" min="4" max="4" width="16.0"/>
    <col customWidth="1" min="5" max="5" width="9.0"/>
    <col customWidth="1" min="6" max="6" width="14.0"/>
    <col customWidth="1" min="7" max="7" width="18.0"/>
    <col customWidth="1" min="8" max="26" width="8.57"/>
  </cols>
  <sheetData>
    <row r="1" ht="18.0" customHeight="1">
      <c r="A1" s="2" t="s">
        <v>395</v>
      </c>
    </row>
    <row r="2" ht="14.25" customHeight="1">
      <c r="A2" s="5" t="s">
        <v>396</v>
      </c>
    </row>
    <row r="3" ht="14.25" customHeight="1">
      <c r="B3" s="7" t="s">
        <v>400</v>
      </c>
      <c r="C3" s="43">
        <f>SUM(E6:E16)</f>
        <v>18</v>
      </c>
      <c r="D3" s="7" t="str">
        <f>IF(C3&lt;=20,"ĐẠT (≤ 20 phút)","VƯỢT 20 PHÚT – cắt bớt")</f>
        <v>ĐẠT (≤ 20 phút)</v>
      </c>
    </row>
    <row r="4" ht="14.25" customHeight="1">
      <c r="B4" s="44" t="s">
        <v>419</v>
      </c>
      <c r="C4" s="45">
        <f>20-C3</f>
        <v>2</v>
      </c>
    </row>
    <row r="5" ht="31.5" customHeight="1">
      <c r="A5" s="3" t="s">
        <v>49</v>
      </c>
      <c r="B5" s="3" t="s">
        <v>424</v>
      </c>
      <c r="C5" s="3" t="s">
        <v>425</v>
      </c>
      <c r="D5" s="3" t="s">
        <v>426</v>
      </c>
      <c r="E5" s="3" t="s">
        <v>427</v>
      </c>
      <c r="F5" s="3" t="s">
        <v>429</v>
      </c>
      <c r="G5" s="3" t="s">
        <v>431</v>
      </c>
    </row>
    <row r="6" ht="14.25" customHeight="1">
      <c r="A6" s="11">
        <v>1.0</v>
      </c>
      <c r="B6" s="16" t="s">
        <v>387</v>
      </c>
      <c r="C6" s="16" t="s">
        <v>432</v>
      </c>
      <c r="D6" s="11" t="s">
        <v>41</v>
      </c>
      <c r="E6" s="18">
        <v>1.0</v>
      </c>
      <c r="F6" s="21">
        <v>0.0</v>
      </c>
      <c r="G6" s="11" t="s">
        <v>435</v>
      </c>
    </row>
    <row r="7" ht="24.75" customHeight="1">
      <c r="A7" s="11">
        <v>2.0</v>
      </c>
      <c r="B7" s="16" t="s">
        <v>436</v>
      </c>
      <c r="C7" s="16" t="s">
        <v>437</v>
      </c>
      <c r="D7" s="11" t="s">
        <v>42</v>
      </c>
      <c r="E7" s="18">
        <v>2.0</v>
      </c>
      <c r="F7" s="21">
        <f t="shared" ref="F7:F16" si="1">SUM($E$6:E6)</f>
        <v>1</v>
      </c>
      <c r="G7" s="11" t="s">
        <v>441</v>
      </c>
    </row>
    <row r="8" ht="14.25" customHeight="1">
      <c r="A8" s="11">
        <v>3.0</v>
      </c>
      <c r="B8" s="16" t="s">
        <v>442</v>
      </c>
      <c r="C8" s="16" t="s">
        <v>443</v>
      </c>
      <c r="D8" s="11" t="s">
        <v>41</v>
      </c>
      <c r="E8" s="18">
        <v>2.0</v>
      </c>
      <c r="F8" s="21">
        <f t="shared" si="1"/>
        <v>3</v>
      </c>
      <c r="G8" s="11" t="s">
        <v>441</v>
      </c>
    </row>
    <row r="9" ht="14.25" customHeight="1">
      <c r="A9" s="11">
        <v>4.0</v>
      </c>
      <c r="B9" s="16" t="s">
        <v>446</v>
      </c>
      <c r="C9" s="16" t="s">
        <v>448</v>
      </c>
      <c r="D9" s="11" t="s">
        <v>41</v>
      </c>
      <c r="E9" s="18">
        <v>2.0</v>
      </c>
      <c r="F9" s="21">
        <f t="shared" si="1"/>
        <v>5</v>
      </c>
      <c r="G9" s="11" t="s">
        <v>450</v>
      </c>
    </row>
    <row r="10" ht="14.25" customHeight="1">
      <c r="A10" s="11">
        <v>5.0</v>
      </c>
      <c r="B10" s="16" t="s">
        <v>451</v>
      </c>
      <c r="C10" s="16" t="s">
        <v>452</v>
      </c>
      <c r="D10" s="11" t="s">
        <v>41</v>
      </c>
      <c r="E10" s="18">
        <v>2.0</v>
      </c>
      <c r="F10" s="21">
        <f t="shared" si="1"/>
        <v>7</v>
      </c>
      <c r="G10" s="11" t="s">
        <v>453</v>
      </c>
    </row>
    <row r="11" ht="14.25" customHeight="1">
      <c r="A11" s="11">
        <v>6.0</v>
      </c>
      <c r="B11" s="16" t="s">
        <v>456</v>
      </c>
      <c r="C11" s="16" t="s">
        <v>458</v>
      </c>
      <c r="D11" s="11" t="s">
        <v>42</v>
      </c>
      <c r="E11" s="18">
        <v>2.0</v>
      </c>
      <c r="F11" s="21">
        <f t="shared" si="1"/>
        <v>9</v>
      </c>
      <c r="G11" s="11" t="s">
        <v>453</v>
      </c>
    </row>
    <row r="12" ht="14.25" customHeight="1">
      <c r="A12" s="11">
        <v>7.0</v>
      </c>
      <c r="B12" s="16" t="s">
        <v>459</v>
      </c>
      <c r="C12" s="16" t="s">
        <v>461</v>
      </c>
      <c r="D12" s="11" t="s">
        <v>68</v>
      </c>
      <c r="E12" s="18">
        <v>1.5</v>
      </c>
      <c r="F12" s="21">
        <f t="shared" si="1"/>
        <v>11</v>
      </c>
      <c r="G12" s="11" t="s">
        <v>453</v>
      </c>
    </row>
    <row r="13" ht="14.25" customHeight="1">
      <c r="A13" s="11">
        <v>8.0</v>
      </c>
      <c r="B13" s="16" t="s">
        <v>464</v>
      </c>
      <c r="C13" s="16" t="s">
        <v>465</v>
      </c>
      <c r="D13" s="11" t="s">
        <v>68</v>
      </c>
      <c r="E13" s="18">
        <v>2.0</v>
      </c>
      <c r="F13" s="21">
        <f t="shared" si="1"/>
        <v>12.5</v>
      </c>
      <c r="G13" s="11" t="s">
        <v>466</v>
      </c>
    </row>
    <row r="14" ht="14.25" customHeight="1">
      <c r="A14" s="11">
        <v>9.0</v>
      </c>
      <c r="B14" s="16" t="s">
        <v>467</v>
      </c>
      <c r="C14" s="16" t="s">
        <v>468</v>
      </c>
      <c r="D14" s="11" t="s">
        <v>68</v>
      </c>
      <c r="E14" s="18">
        <v>1.5</v>
      </c>
      <c r="F14" s="21">
        <f t="shared" si="1"/>
        <v>14.5</v>
      </c>
      <c r="G14" s="11" t="s">
        <v>466</v>
      </c>
    </row>
    <row r="15" ht="14.25" customHeight="1">
      <c r="A15" s="11">
        <v>10.0</v>
      </c>
      <c r="B15" s="16" t="s">
        <v>332</v>
      </c>
      <c r="C15" s="16" t="s">
        <v>471</v>
      </c>
      <c r="D15" s="11" t="s">
        <v>42</v>
      </c>
      <c r="E15" s="18">
        <v>1.5</v>
      </c>
      <c r="F15" s="21">
        <f t="shared" si="1"/>
        <v>16</v>
      </c>
      <c r="G15" s="11" t="s">
        <v>466</v>
      </c>
    </row>
    <row r="16" ht="14.25" customHeight="1">
      <c r="A16" s="11">
        <v>11.0</v>
      </c>
      <c r="B16" s="16" t="s">
        <v>472</v>
      </c>
      <c r="C16" s="16" t="s">
        <v>473</v>
      </c>
      <c r="D16" s="11" t="s">
        <v>41</v>
      </c>
      <c r="E16" s="18">
        <v>0.5</v>
      </c>
      <c r="F16" s="21">
        <f t="shared" si="1"/>
        <v>17.5</v>
      </c>
      <c r="G16" s="11" t="s">
        <v>472</v>
      </c>
    </row>
    <row r="17" ht="14.25" customHeight="1"/>
    <row r="18" ht="14.25" customHeight="1"/>
    <row r="19" ht="14.25" customHeight="1">
      <c r="B19" s="24" t="s">
        <v>95</v>
      </c>
      <c r="C19" s="24" t="s">
        <v>475</v>
      </c>
      <c r="D19" s="24" t="s">
        <v>476</v>
      </c>
    </row>
    <row r="20" ht="14.25" customHeight="1">
      <c r="B20" s="28" t="s">
        <v>41</v>
      </c>
      <c r="C20" s="30">
        <f t="shared" ref="C20:C22" si="2">SUMIF($D$6:$D$16,B20,$E$6:$E$16)</f>
        <v>7.5</v>
      </c>
      <c r="D20" s="29">
        <f t="shared" ref="D20:D22" si="3">COUNTIF($D$6:$D$16,B20)</f>
        <v>5</v>
      </c>
    </row>
    <row r="21" ht="14.25" customHeight="1">
      <c r="B21" s="28" t="s">
        <v>42</v>
      </c>
      <c r="C21" s="30">
        <f t="shared" si="2"/>
        <v>5.5</v>
      </c>
      <c r="D21" s="29">
        <f t="shared" si="3"/>
        <v>3</v>
      </c>
    </row>
    <row r="22" ht="14.25" customHeight="1">
      <c r="B22" s="28" t="s">
        <v>68</v>
      </c>
      <c r="C22" s="30">
        <f t="shared" si="2"/>
        <v>5</v>
      </c>
      <c r="D22" s="29">
        <f t="shared" si="3"/>
        <v>3</v>
      </c>
    </row>
    <row r="23" ht="14.25" customHeight="1">
      <c r="B23" s="7" t="s">
        <v>485</v>
      </c>
      <c r="C23" s="7" t="str">
        <f>IF(AND(C20&gt;0,C21&gt;0,C22&gt;0),"Cả 3 thành viên đều trình bày","THIẾU thành viên")</f>
        <v>Cả 3 thành viên đều trình bày</v>
      </c>
    </row>
    <row r="24" ht="14.25" customHeight="1"/>
    <row r="25" ht="14.25" customHeight="1">
      <c r="B25" s="7" t="s">
        <v>489</v>
      </c>
    </row>
    <row r="26" ht="14.25" customHeight="1">
      <c r="B26" s="44" t="s">
        <v>490</v>
      </c>
    </row>
    <row r="27" ht="14.25" customHeight="1">
      <c r="B27" s="44" t="s">
        <v>491</v>
      </c>
    </row>
    <row r="28" ht="14.25" customHeight="1">
      <c r="B28" s="44" t="s">
        <v>492</v>
      </c>
    </row>
    <row r="29" ht="14.25" customHeight="1">
      <c r="B29" s="44" t="s">
        <v>493</v>
      </c>
    </row>
    <row r="30" ht="14.25" customHeight="1">
      <c r="B30" s="44" t="s">
        <v>494</v>
      </c>
    </row>
    <row r="31" ht="14.25" customHeight="1">
      <c r="B31" s="44" t="s">
        <v>495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:F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64.0"/>
    <col customWidth="1" min="4" max="4" width="30.0"/>
    <col customWidth="1" min="5" max="6" width="16.0"/>
    <col customWidth="1" min="7" max="7" width="14.0"/>
    <col customWidth="1" min="8" max="26" width="8.57"/>
  </cols>
  <sheetData>
    <row r="1" ht="18.0" customHeight="1">
      <c r="A1" s="2" t="s">
        <v>500</v>
      </c>
    </row>
    <row r="2" ht="14.25" customHeight="1">
      <c r="A2" s="5" t="s">
        <v>501</v>
      </c>
    </row>
    <row r="3" ht="14.25" customHeight="1"/>
    <row r="4" ht="14.25" customHeight="1"/>
    <row r="5" ht="31.5" customHeight="1">
      <c r="A5" s="3" t="s">
        <v>49</v>
      </c>
      <c r="B5" s="3" t="s">
        <v>503</v>
      </c>
      <c r="C5" s="3" t="s">
        <v>505</v>
      </c>
      <c r="D5" s="3" t="s">
        <v>506</v>
      </c>
      <c r="E5" s="3" t="s">
        <v>507</v>
      </c>
      <c r="F5" s="3" t="s">
        <v>508</v>
      </c>
      <c r="G5" s="3" t="s">
        <v>509</v>
      </c>
    </row>
    <row r="6" ht="25.5" customHeight="1">
      <c r="A6" s="46" t="s">
        <v>510</v>
      </c>
      <c r="B6" s="47" t="s">
        <v>512</v>
      </c>
      <c r="C6" s="47" t="s">
        <v>514</v>
      </c>
      <c r="D6" s="47" t="s">
        <v>515</v>
      </c>
      <c r="E6" s="46" t="s">
        <v>68</v>
      </c>
      <c r="F6" s="46" t="s">
        <v>42</v>
      </c>
      <c r="G6" s="46" t="s">
        <v>516</v>
      </c>
    </row>
    <row r="7" ht="14.25" customHeight="1">
      <c r="A7" s="11">
        <v>1.0</v>
      </c>
      <c r="B7" s="16" t="s">
        <v>519</v>
      </c>
      <c r="C7" s="26" t="s">
        <v>520</v>
      </c>
      <c r="D7" s="16" t="s">
        <v>521</v>
      </c>
      <c r="E7" s="11"/>
      <c r="F7" s="11"/>
      <c r="G7" s="11" t="s">
        <v>63</v>
      </c>
    </row>
    <row r="8" ht="14.25" customHeight="1">
      <c r="A8" s="11">
        <v>2.0</v>
      </c>
      <c r="B8" s="16" t="s">
        <v>522</v>
      </c>
      <c r="C8" s="26" t="s">
        <v>520</v>
      </c>
      <c r="D8" s="16" t="s">
        <v>521</v>
      </c>
      <c r="E8" s="11"/>
      <c r="F8" s="11"/>
      <c r="G8" s="11" t="s">
        <v>63</v>
      </c>
    </row>
    <row r="9" ht="24.75" customHeight="1">
      <c r="A9" s="11">
        <v>3.0</v>
      </c>
      <c r="B9" s="16" t="s">
        <v>524</v>
      </c>
      <c r="C9" s="26" t="s">
        <v>525</v>
      </c>
      <c r="D9" s="16" t="s">
        <v>521</v>
      </c>
      <c r="E9" s="11"/>
      <c r="F9" s="11"/>
      <c r="G9" s="11" t="s">
        <v>63</v>
      </c>
    </row>
    <row r="10" ht="14.25" customHeight="1">
      <c r="A10" s="11">
        <v>4.0</v>
      </c>
      <c r="B10" s="16" t="s">
        <v>526</v>
      </c>
      <c r="C10" s="26" t="s">
        <v>527</v>
      </c>
      <c r="D10" s="16" t="s">
        <v>528</v>
      </c>
      <c r="E10" s="11"/>
      <c r="F10" s="11"/>
      <c r="G10" s="11" t="s">
        <v>63</v>
      </c>
    </row>
    <row r="11" ht="37.5" customHeight="1">
      <c r="A11" s="11">
        <v>5.0</v>
      </c>
      <c r="B11" s="16" t="s">
        <v>532</v>
      </c>
      <c r="C11" s="26" t="s">
        <v>533</v>
      </c>
      <c r="D11" s="16" t="s">
        <v>534</v>
      </c>
      <c r="E11" s="11"/>
      <c r="F11" s="11"/>
      <c r="G11" s="11" t="s">
        <v>63</v>
      </c>
    </row>
    <row r="12" ht="24.75" customHeight="1">
      <c r="A12" s="11">
        <v>6.0</v>
      </c>
      <c r="B12" s="16" t="s">
        <v>538</v>
      </c>
      <c r="C12" s="26" t="s">
        <v>527</v>
      </c>
      <c r="D12" s="16" t="s">
        <v>534</v>
      </c>
      <c r="E12" s="11"/>
      <c r="F12" s="11"/>
      <c r="G12" s="11" t="s">
        <v>63</v>
      </c>
    </row>
    <row r="13" ht="14.25" customHeight="1">
      <c r="A13" s="11">
        <v>7.0</v>
      </c>
      <c r="B13" s="16" t="s">
        <v>539</v>
      </c>
      <c r="C13" s="26" t="s">
        <v>527</v>
      </c>
      <c r="D13" s="16" t="s">
        <v>540</v>
      </c>
      <c r="E13" s="11"/>
      <c r="F13" s="11"/>
      <c r="G13" s="11" t="s">
        <v>63</v>
      </c>
    </row>
    <row r="14" ht="14.25" customHeight="1">
      <c r="A14" s="11">
        <v>8.0</v>
      </c>
      <c r="B14" s="16" t="s">
        <v>546</v>
      </c>
      <c r="C14" s="26" t="s">
        <v>547</v>
      </c>
      <c r="D14" s="16" t="s">
        <v>548</v>
      </c>
      <c r="E14" s="11"/>
      <c r="F14" s="11"/>
      <c r="G14" s="11" t="s">
        <v>63</v>
      </c>
    </row>
    <row r="15" ht="14.25" customHeight="1">
      <c r="A15" s="11">
        <v>9.0</v>
      </c>
      <c r="B15" s="16" t="s">
        <v>551</v>
      </c>
      <c r="C15" s="26" t="s">
        <v>552</v>
      </c>
      <c r="D15" s="16" t="s">
        <v>548</v>
      </c>
      <c r="E15" s="11"/>
      <c r="F15" s="11"/>
      <c r="G15" s="11" t="s">
        <v>63</v>
      </c>
    </row>
    <row r="16" ht="14.25" customHeight="1">
      <c r="A16" s="11">
        <v>10.0</v>
      </c>
      <c r="B16" s="16" t="s">
        <v>553</v>
      </c>
      <c r="C16" s="26" t="s">
        <v>554</v>
      </c>
      <c r="D16" s="16" t="s">
        <v>548</v>
      </c>
      <c r="E16" s="11"/>
      <c r="F16" s="11"/>
      <c r="G16" s="11" t="s">
        <v>63</v>
      </c>
    </row>
    <row r="17" ht="14.25" customHeight="1">
      <c r="A17" s="11">
        <v>11.0</v>
      </c>
      <c r="B17" s="16" t="s">
        <v>556</v>
      </c>
      <c r="C17" s="26" t="s">
        <v>527</v>
      </c>
      <c r="D17" s="16" t="s">
        <v>521</v>
      </c>
      <c r="E17" s="11"/>
      <c r="F17" s="11"/>
      <c r="G17" s="11" t="s">
        <v>63</v>
      </c>
    </row>
    <row r="18" ht="14.25" customHeight="1">
      <c r="A18" s="11">
        <v>12.0</v>
      </c>
      <c r="B18" s="16" t="s">
        <v>557</v>
      </c>
      <c r="C18" s="26" t="s">
        <v>527</v>
      </c>
      <c r="D18" s="16" t="s">
        <v>521</v>
      </c>
      <c r="E18" s="11"/>
      <c r="F18" s="11"/>
      <c r="G18" s="11" t="s">
        <v>63</v>
      </c>
    </row>
    <row r="19" ht="14.25" customHeight="1">
      <c r="E19" s="32"/>
      <c r="F19" s="32"/>
      <c r="G19" s="32"/>
    </row>
    <row r="20" ht="14.25" customHeight="1">
      <c r="E20" s="32"/>
      <c r="F20" s="32"/>
      <c r="G20" s="32"/>
    </row>
    <row r="21" ht="14.25" customHeight="1">
      <c r="E21" s="32"/>
      <c r="F21" s="32"/>
      <c r="G21" s="32"/>
    </row>
    <row r="22" ht="14.25" customHeight="1">
      <c r="E22" s="32"/>
      <c r="F22" s="32"/>
      <c r="G22" s="32"/>
    </row>
    <row r="23" ht="14.25" customHeight="1">
      <c r="E23" s="32"/>
      <c r="F23" s="32"/>
      <c r="G23" s="3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7:G18">
    <cfRule type="cellIs" dxfId="0" priority="1" operator="equal">
      <formula>"Đã đúng"</formula>
    </cfRule>
  </conditionalFormatting>
  <conditionalFormatting sqref="G7:G18">
    <cfRule type="cellIs" dxfId="1" priority="2" operator="equal">
      <formula>"Cần sửa"</formula>
    </cfRule>
  </conditionalFormatting>
  <dataValidations>
    <dataValidation type="list" allowBlank="1" sqref="E6:F23">
      <formula1>"Hữu Nam,Thành Trung,Kiệt"</formula1>
    </dataValidation>
    <dataValidation type="list" allowBlank="1" sqref="G6:G23">
      <formula1>"Chưa kiểm,Đã đúng,Cần sửa"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38.0"/>
    <col customWidth="1" min="4" max="4" width="44.0"/>
    <col customWidth="1" min="5" max="5" width="12.0"/>
    <col customWidth="1" min="6" max="6" width="14.0"/>
    <col customWidth="1" min="7" max="7" width="10.0"/>
    <col customWidth="1" min="8" max="8" width="9.0"/>
    <col customWidth="1" min="9" max="9" width="15.0"/>
    <col customWidth="1" min="10" max="26" width="8.57"/>
  </cols>
  <sheetData>
    <row r="1" ht="31.5" customHeight="1">
      <c r="A1" s="3" t="s">
        <v>49</v>
      </c>
      <c r="B1" s="3" t="s">
        <v>582</v>
      </c>
      <c r="C1" s="3" t="s">
        <v>583</v>
      </c>
      <c r="D1" s="3" t="s">
        <v>584</v>
      </c>
      <c r="E1" s="3" t="s">
        <v>585</v>
      </c>
      <c r="F1" s="3" t="s">
        <v>586</v>
      </c>
      <c r="G1" s="3" t="s">
        <v>23</v>
      </c>
      <c r="H1" s="3" t="s">
        <v>1</v>
      </c>
      <c r="I1" s="3" t="s">
        <v>30</v>
      </c>
    </row>
    <row r="2" ht="14.25" customHeight="1">
      <c r="A2" s="11">
        <v>1.0</v>
      </c>
      <c r="B2" s="11" t="s">
        <v>589</v>
      </c>
      <c r="C2" s="16" t="s">
        <v>590</v>
      </c>
      <c r="D2" s="16" t="s">
        <v>591</v>
      </c>
      <c r="E2" s="11" t="s">
        <v>592</v>
      </c>
      <c r="F2" s="11" t="s">
        <v>593</v>
      </c>
      <c r="G2" s="11" t="s">
        <v>41</v>
      </c>
      <c r="H2" s="11">
        <v>1.0</v>
      </c>
      <c r="I2" s="11" t="s">
        <v>110</v>
      </c>
    </row>
    <row r="3" ht="14.25" customHeight="1">
      <c r="A3" s="11">
        <v>2.0</v>
      </c>
      <c r="B3" s="11" t="s">
        <v>589</v>
      </c>
      <c r="C3" s="16" t="s">
        <v>596</v>
      </c>
      <c r="D3" s="16" t="s">
        <v>597</v>
      </c>
      <c r="E3" s="11" t="s">
        <v>592</v>
      </c>
      <c r="F3" s="11" t="s">
        <v>598</v>
      </c>
      <c r="G3" s="11" t="s">
        <v>41</v>
      </c>
      <c r="H3" s="11">
        <v>1.0</v>
      </c>
      <c r="I3" s="11" t="s">
        <v>110</v>
      </c>
    </row>
    <row r="4" ht="14.25" customHeight="1">
      <c r="A4" s="11">
        <v>3.0</v>
      </c>
      <c r="B4" s="11" t="s">
        <v>589</v>
      </c>
      <c r="C4" s="16" t="s">
        <v>601</v>
      </c>
      <c r="D4" s="16" t="s">
        <v>602</v>
      </c>
      <c r="E4" s="11" t="s">
        <v>592</v>
      </c>
      <c r="F4" s="11" t="s">
        <v>598</v>
      </c>
      <c r="G4" s="11" t="s">
        <v>41</v>
      </c>
      <c r="H4" s="11">
        <v>1.0</v>
      </c>
      <c r="I4" s="11" t="s">
        <v>110</v>
      </c>
    </row>
    <row r="5" ht="14.25" customHeight="1">
      <c r="A5" s="11">
        <v>4.0</v>
      </c>
      <c r="B5" s="11" t="s">
        <v>589</v>
      </c>
      <c r="C5" s="16" t="s">
        <v>603</v>
      </c>
      <c r="D5" s="16" t="s">
        <v>605</v>
      </c>
      <c r="E5" s="11" t="s">
        <v>606</v>
      </c>
      <c r="F5" s="11" t="s">
        <v>607</v>
      </c>
      <c r="G5" s="11" t="s">
        <v>41</v>
      </c>
      <c r="H5" s="11">
        <v>1.0</v>
      </c>
      <c r="I5" s="11" t="s">
        <v>110</v>
      </c>
    </row>
    <row r="6" ht="14.25" customHeight="1">
      <c r="A6" s="11">
        <v>5.0</v>
      </c>
      <c r="B6" s="11" t="s">
        <v>611</v>
      </c>
      <c r="C6" s="16" t="s">
        <v>612</v>
      </c>
      <c r="D6" s="16" t="s">
        <v>613</v>
      </c>
      <c r="E6" s="11" t="s">
        <v>606</v>
      </c>
      <c r="F6" s="11" t="s">
        <v>598</v>
      </c>
      <c r="G6" s="11" t="s">
        <v>41</v>
      </c>
      <c r="H6" s="11">
        <v>1.0</v>
      </c>
      <c r="I6" s="11" t="s">
        <v>110</v>
      </c>
    </row>
    <row r="7" ht="24.75" customHeight="1">
      <c r="A7" s="11">
        <v>6.0</v>
      </c>
      <c r="B7" s="11" t="s">
        <v>611</v>
      </c>
      <c r="C7" s="16" t="s">
        <v>614</v>
      </c>
      <c r="D7" s="16" t="s">
        <v>616</v>
      </c>
      <c r="E7" s="11" t="s">
        <v>592</v>
      </c>
      <c r="F7" s="11" t="s">
        <v>598</v>
      </c>
      <c r="G7" s="11" t="s">
        <v>42</v>
      </c>
      <c r="H7" s="11">
        <v>1.0</v>
      </c>
      <c r="I7" s="11" t="s">
        <v>110</v>
      </c>
    </row>
    <row r="8" ht="24.75" customHeight="1">
      <c r="A8" s="11">
        <v>7.0</v>
      </c>
      <c r="B8" s="11" t="s">
        <v>611</v>
      </c>
      <c r="C8" s="16" t="s">
        <v>617</v>
      </c>
      <c r="D8" s="16" t="s">
        <v>618</v>
      </c>
      <c r="E8" s="11" t="s">
        <v>592</v>
      </c>
      <c r="F8" s="11" t="s">
        <v>598</v>
      </c>
      <c r="G8" s="11" t="s">
        <v>42</v>
      </c>
      <c r="H8" s="11">
        <v>1.0</v>
      </c>
      <c r="I8" s="11" t="s">
        <v>110</v>
      </c>
    </row>
    <row r="9" ht="24.75" customHeight="1">
      <c r="A9" s="11">
        <v>8.0</v>
      </c>
      <c r="B9" s="11" t="s">
        <v>589</v>
      </c>
      <c r="C9" s="16" t="s">
        <v>614</v>
      </c>
      <c r="D9" s="16" t="s">
        <v>621</v>
      </c>
      <c r="E9" s="11" t="s">
        <v>262</v>
      </c>
      <c r="F9" s="11" t="s">
        <v>593</v>
      </c>
      <c r="G9" s="11" t="s">
        <v>42</v>
      </c>
      <c r="H9" s="11">
        <v>2.0</v>
      </c>
      <c r="I9" s="11" t="s">
        <v>110</v>
      </c>
    </row>
    <row r="10" ht="24.75" customHeight="1">
      <c r="A10" s="11">
        <v>9.0</v>
      </c>
      <c r="B10" s="11" t="s">
        <v>622</v>
      </c>
      <c r="C10" s="16" t="s">
        <v>617</v>
      </c>
      <c r="D10" s="16" t="s">
        <v>623</v>
      </c>
      <c r="E10" s="11" t="s">
        <v>262</v>
      </c>
      <c r="F10" s="11" t="s">
        <v>598</v>
      </c>
      <c r="G10" s="11" t="s">
        <v>42</v>
      </c>
      <c r="H10" s="11">
        <v>2.0</v>
      </c>
      <c r="I10" s="11" t="s">
        <v>110</v>
      </c>
    </row>
    <row r="11" ht="24.75" customHeight="1">
      <c r="A11" s="11">
        <v>10.0</v>
      </c>
      <c r="B11" s="11" t="s">
        <v>625</v>
      </c>
      <c r="C11" s="16" t="s">
        <v>617</v>
      </c>
      <c r="D11" s="16" t="s">
        <v>626</v>
      </c>
      <c r="E11" s="11" t="s">
        <v>262</v>
      </c>
      <c r="F11" s="11" t="s">
        <v>598</v>
      </c>
      <c r="G11" s="11" t="s">
        <v>42</v>
      </c>
      <c r="H11" s="11">
        <v>2.0</v>
      </c>
      <c r="I11" s="11" t="s">
        <v>110</v>
      </c>
    </row>
    <row r="12" ht="24.75" customHeight="1">
      <c r="A12" s="11">
        <v>11.0</v>
      </c>
      <c r="B12" s="11" t="s">
        <v>629</v>
      </c>
      <c r="C12" s="16" t="s">
        <v>617</v>
      </c>
      <c r="D12" s="16" t="s">
        <v>630</v>
      </c>
      <c r="E12" s="11" t="s">
        <v>262</v>
      </c>
      <c r="F12" s="11" t="s">
        <v>607</v>
      </c>
      <c r="G12" s="11" t="s">
        <v>42</v>
      </c>
      <c r="H12" s="11">
        <v>2.0</v>
      </c>
      <c r="I12" s="11" t="s">
        <v>110</v>
      </c>
    </row>
    <row r="13" ht="24.75" customHeight="1">
      <c r="A13" s="11">
        <v>12.0</v>
      </c>
      <c r="B13" s="11" t="s">
        <v>611</v>
      </c>
      <c r="C13" s="16" t="s">
        <v>631</v>
      </c>
      <c r="D13" s="16" t="s">
        <v>632</v>
      </c>
      <c r="E13" s="11" t="s">
        <v>592</v>
      </c>
      <c r="F13" s="11" t="s">
        <v>598</v>
      </c>
      <c r="G13" s="11" t="s">
        <v>42</v>
      </c>
      <c r="H13" s="11">
        <v>1.0</v>
      </c>
      <c r="I13" s="11" t="s">
        <v>110</v>
      </c>
    </row>
    <row r="14" ht="24.75" customHeight="1">
      <c r="A14" s="11">
        <v>13.0</v>
      </c>
      <c r="B14" s="11" t="s">
        <v>611</v>
      </c>
      <c r="C14" s="16" t="s">
        <v>634</v>
      </c>
      <c r="D14" s="16" t="s">
        <v>635</v>
      </c>
      <c r="E14" s="11" t="s">
        <v>592</v>
      </c>
      <c r="F14" s="11" t="s">
        <v>598</v>
      </c>
      <c r="G14" s="11" t="s">
        <v>42</v>
      </c>
      <c r="H14" s="11">
        <v>1.0</v>
      </c>
      <c r="I14" s="11" t="s">
        <v>110</v>
      </c>
    </row>
    <row r="15" ht="24.75" customHeight="1">
      <c r="A15" s="11">
        <v>14.0</v>
      </c>
      <c r="B15" s="11" t="s">
        <v>638</v>
      </c>
      <c r="C15" s="16" t="s">
        <v>640</v>
      </c>
      <c r="D15" s="16" t="s">
        <v>641</v>
      </c>
      <c r="E15" s="11" t="s">
        <v>262</v>
      </c>
      <c r="F15" s="11" t="s">
        <v>642</v>
      </c>
      <c r="G15" s="11" t="s">
        <v>42</v>
      </c>
      <c r="H15" s="11">
        <v>2.0</v>
      </c>
      <c r="I15" s="11" t="s">
        <v>110</v>
      </c>
    </row>
    <row r="16" ht="14.25" customHeight="1">
      <c r="A16" s="11">
        <v>15.0</v>
      </c>
      <c r="B16" s="11" t="s">
        <v>611</v>
      </c>
      <c r="C16" s="16" t="s">
        <v>645</v>
      </c>
      <c r="D16" s="16" t="s">
        <v>646</v>
      </c>
      <c r="E16" s="11" t="s">
        <v>606</v>
      </c>
      <c r="F16" s="11" t="s">
        <v>598</v>
      </c>
      <c r="G16" s="11" t="s">
        <v>41</v>
      </c>
      <c r="H16" s="11">
        <v>2.0</v>
      </c>
      <c r="I16" s="11" t="s">
        <v>110</v>
      </c>
    </row>
    <row r="17" ht="14.25" customHeight="1">
      <c r="A17" s="11">
        <v>16.0</v>
      </c>
      <c r="B17" s="11" t="s">
        <v>589</v>
      </c>
      <c r="C17" s="16" t="s">
        <v>648</v>
      </c>
      <c r="D17" s="16" t="s">
        <v>649</v>
      </c>
      <c r="E17" s="11" t="s">
        <v>606</v>
      </c>
      <c r="F17" s="11" t="s">
        <v>593</v>
      </c>
      <c r="G17" s="11" t="s">
        <v>41</v>
      </c>
      <c r="H17" s="11">
        <v>2.0</v>
      </c>
      <c r="I17" s="11" t="s">
        <v>110</v>
      </c>
    </row>
    <row r="18" ht="14.25" customHeight="1">
      <c r="A18" s="11">
        <v>17.0</v>
      </c>
      <c r="B18" s="11" t="s">
        <v>622</v>
      </c>
      <c r="C18" s="16" t="s">
        <v>650</v>
      </c>
      <c r="D18" s="16" t="s">
        <v>653</v>
      </c>
      <c r="E18" s="11" t="s">
        <v>606</v>
      </c>
      <c r="F18" s="11" t="s">
        <v>598</v>
      </c>
      <c r="G18" s="11" t="s">
        <v>41</v>
      </c>
      <c r="H18" s="11">
        <v>2.0</v>
      </c>
      <c r="I18" s="11" t="s">
        <v>110</v>
      </c>
    </row>
    <row r="19" ht="14.25" customHeight="1">
      <c r="A19" s="11">
        <v>18.0</v>
      </c>
      <c r="B19" s="11" t="s">
        <v>629</v>
      </c>
      <c r="C19" s="16" t="s">
        <v>650</v>
      </c>
      <c r="D19" s="16" t="s">
        <v>655</v>
      </c>
      <c r="E19" s="11" t="s">
        <v>606</v>
      </c>
      <c r="F19" s="11" t="s">
        <v>607</v>
      </c>
      <c r="G19" s="11" t="s">
        <v>41</v>
      </c>
      <c r="H19" s="11">
        <v>2.0</v>
      </c>
      <c r="I19" s="11" t="s">
        <v>110</v>
      </c>
    </row>
    <row r="20" ht="14.25" customHeight="1">
      <c r="A20" s="11">
        <v>19.0</v>
      </c>
      <c r="B20" s="11" t="s">
        <v>589</v>
      </c>
      <c r="C20" s="16" t="s">
        <v>256</v>
      </c>
      <c r="D20" s="16" t="s">
        <v>657</v>
      </c>
      <c r="E20" s="11" t="s">
        <v>606</v>
      </c>
      <c r="F20" s="11" t="s">
        <v>598</v>
      </c>
      <c r="G20" s="11" t="s">
        <v>41</v>
      </c>
      <c r="H20" s="11">
        <v>2.0</v>
      </c>
      <c r="I20" s="11" t="s">
        <v>110</v>
      </c>
    </row>
    <row r="21" ht="14.25" customHeight="1">
      <c r="A21" s="11">
        <v>20.0</v>
      </c>
      <c r="B21" s="11" t="s">
        <v>589</v>
      </c>
      <c r="C21" s="16" t="s">
        <v>290</v>
      </c>
      <c r="D21" s="16" t="s">
        <v>659</v>
      </c>
      <c r="E21" s="11" t="s">
        <v>606</v>
      </c>
      <c r="F21" s="11" t="s">
        <v>593</v>
      </c>
      <c r="G21" s="11" t="s">
        <v>41</v>
      </c>
      <c r="H21" s="11">
        <v>2.0</v>
      </c>
      <c r="I21" s="11" t="s">
        <v>110</v>
      </c>
    </row>
    <row r="22" ht="14.25" customHeight="1">
      <c r="A22" s="11">
        <v>21.0</v>
      </c>
      <c r="B22" s="11" t="s">
        <v>611</v>
      </c>
      <c r="C22" s="16" t="s">
        <v>290</v>
      </c>
      <c r="D22" s="16" t="s">
        <v>661</v>
      </c>
      <c r="E22" s="11" t="s">
        <v>606</v>
      </c>
      <c r="F22" s="11" t="s">
        <v>598</v>
      </c>
      <c r="G22" s="11" t="s">
        <v>41</v>
      </c>
      <c r="H22" s="11">
        <v>2.0</v>
      </c>
      <c r="I22" s="11" t="s">
        <v>110</v>
      </c>
    </row>
    <row r="23" ht="24.75" customHeight="1">
      <c r="A23" s="11">
        <v>22.0</v>
      </c>
      <c r="B23" s="11" t="s">
        <v>611</v>
      </c>
      <c r="C23" s="16" t="s">
        <v>664</v>
      </c>
      <c r="D23" s="16" t="s">
        <v>666</v>
      </c>
      <c r="E23" s="11" t="s">
        <v>667</v>
      </c>
      <c r="F23" s="11" t="s">
        <v>598</v>
      </c>
      <c r="G23" s="11" t="s">
        <v>41</v>
      </c>
      <c r="H23" s="11">
        <v>2.0</v>
      </c>
      <c r="I23" s="11" t="s">
        <v>110</v>
      </c>
    </row>
    <row r="24" ht="14.25" customHeight="1">
      <c r="A24" s="11">
        <v>23.0</v>
      </c>
      <c r="B24" s="11" t="s">
        <v>589</v>
      </c>
      <c r="C24" s="16" t="s">
        <v>668</v>
      </c>
      <c r="D24" s="16" t="s">
        <v>669</v>
      </c>
      <c r="E24" s="11" t="s">
        <v>606</v>
      </c>
      <c r="F24" s="11" t="s">
        <v>598</v>
      </c>
      <c r="G24" s="11" t="s">
        <v>41</v>
      </c>
      <c r="H24" s="11">
        <v>2.0</v>
      </c>
      <c r="I24" s="11" t="s">
        <v>110</v>
      </c>
    </row>
    <row r="25" ht="14.25" customHeight="1">
      <c r="A25" s="11">
        <v>24.0</v>
      </c>
      <c r="B25" s="11" t="s">
        <v>589</v>
      </c>
      <c r="C25" s="16" t="s">
        <v>318</v>
      </c>
      <c r="D25" s="16" t="s">
        <v>673</v>
      </c>
      <c r="E25" s="11" t="s">
        <v>606</v>
      </c>
      <c r="F25" s="11" t="s">
        <v>593</v>
      </c>
      <c r="G25" s="11" t="s">
        <v>41</v>
      </c>
      <c r="H25" s="11">
        <v>2.0</v>
      </c>
      <c r="I25" s="11" t="s">
        <v>110</v>
      </c>
    </row>
    <row r="26" ht="14.25" customHeight="1">
      <c r="A26" s="11">
        <v>25.0</v>
      </c>
      <c r="B26" s="11" t="s">
        <v>611</v>
      </c>
      <c r="C26" s="16" t="s">
        <v>674</v>
      </c>
      <c r="D26" s="16" t="s">
        <v>675</v>
      </c>
      <c r="E26" s="11" t="s">
        <v>606</v>
      </c>
      <c r="F26" s="11" t="s">
        <v>598</v>
      </c>
      <c r="G26" s="11" t="s">
        <v>41</v>
      </c>
      <c r="H26" s="11">
        <v>2.0</v>
      </c>
      <c r="I26" s="11" t="s">
        <v>110</v>
      </c>
    </row>
    <row r="27" ht="14.25" customHeight="1">
      <c r="A27" s="11">
        <v>26.0</v>
      </c>
      <c r="B27" s="11" t="s">
        <v>589</v>
      </c>
      <c r="C27" s="16" t="s">
        <v>676</v>
      </c>
      <c r="D27" s="16" t="s">
        <v>677</v>
      </c>
      <c r="E27" s="11" t="s">
        <v>678</v>
      </c>
      <c r="F27" s="11" t="s">
        <v>598</v>
      </c>
      <c r="G27" s="11" t="s">
        <v>41</v>
      </c>
      <c r="H27" s="11">
        <v>3.0</v>
      </c>
      <c r="I27" s="11" t="s">
        <v>110</v>
      </c>
    </row>
    <row r="28" ht="24.75" customHeight="1">
      <c r="A28" s="11">
        <v>27.0</v>
      </c>
      <c r="B28" s="11" t="s">
        <v>625</v>
      </c>
      <c r="C28" s="16" t="s">
        <v>679</v>
      </c>
      <c r="D28" s="16" t="s">
        <v>680</v>
      </c>
      <c r="E28" s="11" t="s">
        <v>262</v>
      </c>
      <c r="F28" s="11" t="s">
        <v>598</v>
      </c>
      <c r="G28" s="11" t="s">
        <v>42</v>
      </c>
      <c r="H28" s="11">
        <v>2.0</v>
      </c>
      <c r="I28" s="11" t="s">
        <v>110</v>
      </c>
    </row>
    <row r="29" ht="24.75" customHeight="1">
      <c r="A29" s="11">
        <v>28.0</v>
      </c>
      <c r="B29" s="11" t="s">
        <v>682</v>
      </c>
      <c r="C29" s="16" t="s">
        <v>683</v>
      </c>
      <c r="D29" s="16" t="s">
        <v>684</v>
      </c>
      <c r="E29" s="11" t="s">
        <v>262</v>
      </c>
      <c r="F29" s="11" t="s">
        <v>598</v>
      </c>
      <c r="G29" s="11" t="s">
        <v>42</v>
      </c>
      <c r="H29" s="11">
        <v>2.0</v>
      </c>
      <c r="I29" s="11" t="s">
        <v>110</v>
      </c>
    </row>
    <row r="30" ht="24.75" customHeight="1">
      <c r="A30" s="11">
        <v>29.0</v>
      </c>
      <c r="B30" s="11" t="s">
        <v>589</v>
      </c>
      <c r="C30" s="16" t="s">
        <v>685</v>
      </c>
      <c r="D30" s="16" t="s">
        <v>686</v>
      </c>
      <c r="E30" s="11" t="s">
        <v>606</v>
      </c>
      <c r="F30" s="11" t="s">
        <v>593</v>
      </c>
      <c r="G30" s="11" t="s">
        <v>42</v>
      </c>
      <c r="H30" s="11">
        <v>2.0</v>
      </c>
      <c r="I30" s="11" t="s">
        <v>110</v>
      </c>
    </row>
    <row r="31" ht="24.75" customHeight="1">
      <c r="A31" s="11">
        <v>30.0</v>
      </c>
      <c r="B31" s="11" t="s">
        <v>611</v>
      </c>
      <c r="C31" s="16" t="s">
        <v>685</v>
      </c>
      <c r="D31" s="16" t="s">
        <v>687</v>
      </c>
      <c r="E31" s="11" t="s">
        <v>592</v>
      </c>
      <c r="F31" s="11" t="s">
        <v>598</v>
      </c>
      <c r="G31" s="11" t="s">
        <v>42</v>
      </c>
      <c r="H31" s="11">
        <v>2.0</v>
      </c>
      <c r="I31" s="11" t="s">
        <v>110</v>
      </c>
    </row>
    <row r="32" ht="24.75" customHeight="1">
      <c r="A32" s="11">
        <v>31.0</v>
      </c>
      <c r="B32" s="11" t="s">
        <v>689</v>
      </c>
      <c r="C32" s="16" t="s">
        <v>690</v>
      </c>
      <c r="D32" s="16" t="s">
        <v>691</v>
      </c>
      <c r="E32" s="11" t="s">
        <v>606</v>
      </c>
      <c r="F32" s="11" t="s">
        <v>692</v>
      </c>
      <c r="G32" s="11" t="s">
        <v>42</v>
      </c>
      <c r="H32" s="11">
        <v>2.0</v>
      </c>
      <c r="I32" s="11" t="s">
        <v>110</v>
      </c>
    </row>
    <row r="33" ht="14.25" customHeight="1">
      <c r="A33" s="11">
        <v>32.0</v>
      </c>
      <c r="B33" s="11" t="s">
        <v>589</v>
      </c>
      <c r="C33" s="16" t="s">
        <v>242</v>
      </c>
      <c r="D33" s="16" t="s">
        <v>693</v>
      </c>
      <c r="E33" s="11" t="s">
        <v>592</v>
      </c>
      <c r="F33" s="11" t="s">
        <v>695</v>
      </c>
      <c r="G33" s="11" t="s">
        <v>41</v>
      </c>
      <c r="H33" s="11">
        <v>1.0</v>
      </c>
      <c r="I33" s="11" t="s">
        <v>110</v>
      </c>
    </row>
    <row r="34" ht="24.75" customHeight="1">
      <c r="A34" s="11">
        <v>33.0</v>
      </c>
      <c r="B34" s="11" t="s">
        <v>611</v>
      </c>
      <c r="C34" s="16" t="s">
        <v>478</v>
      </c>
      <c r="D34" s="16" t="s">
        <v>700</v>
      </c>
      <c r="E34" s="11" t="s">
        <v>592</v>
      </c>
      <c r="F34" s="11" t="s">
        <v>598</v>
      </c>
      <c r="G34" s="11" t="s">
        <v>42</v>
      </c>
      <c r="H34" s="11">
        <v>3.0</v>
      </c>
      <c r="I34" s="11" t="s">
        <v>110</v>
      </c>
    </row>
    <row r="35" ht="24.75" customHeight="1">
      <c r="A35" s="11">
        <v>34.0</v>
      </c>
      <c r="B35" s="11" t="s">
        <v>611</v>
      </c>
      <c r="C35" s="16" t="s">
        <v>497</v>
      </c>
      <c r="D35" s="16" t="s">
        <v>702</v>
      </c>
      <c r="E35" s="11" t="s">
        <v>606</v>
      </c>
      <c r="F35" s="11" t="s">
        <v>598</v>
      </c>
      <c r="G35" s="11" t="s">
        <v>42</v>
      </c>
      <c r="H35" s="11">
        <v>3.0</v>
      </c>
      <c r="I35" s="11" t="s">
        <v>110</v>
      </c>
    </row>
    <row r="36" ht="14.25" customHeight="1">
      <c r="A36" s="11">
        <v>35.0</v>
      </c>
      <c r="B36" s="11" t="s">
        <v>611</v>
      </c>
      <c r="C36" s="16" t="s">
        <v>445</v>
      </c>
      <c r="D36" s="16" t="s">
        <v>708</v>
      </c>
      <c r="E36" s="11" t="s">
        <v>262</v>
      </c>
      <c r="F36" s="11" t="s">
        <v>598</v>
      </c>
      <c r="G36" s="11" t="s">
        <v>41</v>
      </c>
      <c r="H36" s="11">
        <v>3.0</v>
      </c>
      <c r="I36" s="11" t="s">
        <v>110</v>
      </c>
    </row>
    <row r="37" ht="14.25" customHeight="1">
      <c r="A37" s="11">
        <v>36.0</v>
      </c>
      <c r="B37" s="11" t="s">
        <v>611</v>
      </c>
      <c r="C37" s="16" t="s">
        <v>712</v>
      </c>
      <c r="D37" s="16" t="s">
        <v>713</v>
      </c>
      <c r="E37" s="11" t="s">
        <v>262</v>
      </c>
      <c r="F37" s="11" t="s">
        <v>598</v>
      </c>
      <c r="G37" s="11" t="s">
        <v>41</v>
      </c>
      <c r="H37" s="11">
        <v>3.0</v>
      </c>
      <c r="I37" s="11" t="s">
        <v>110</v>
      </c>
    </row>
    <row r="38" ht="14.25" customHeight="1">
      <c r="A38" s="11">
        <v>37.0</v>
      </c>
      <c r="B38" s="11" t="s">
        <v>589</v>
      </c>
      <c r="C38" s="16" t="s">
        <v>718</v>
      </c>
      <c r="D38" s="16" t="s">
        <v>719</v>
      </c>
      <c r="E38" s="11" t="s">
        <v>592</v>
      </c>
      <c r="F38" s="11" t="s">
        <v>598</v>
      </c>
      <c r="G38" s="11" t="s">
        <v>41</v>
      </c>
      <c r="H38" s="11">
        <v>3.0</v>
      </c>
      <c r="I38" s="11" t="s">
        <v>110</v>
      </c>
    </row>
    <row r="39" ht="14.25" customHeight="1">
      <c r="I39" s="32"/>
    </row>
    <row r="40" ht="14.25" customHeight="1">
      <c r="I40" s="32"/>
    </row>
    <row r="41" ht="14.25" customHeight="1">
      <c r="I41" s="32"/>
    </row>
    <row r="42" ht="14.25" customHeight="1">
      <c r="I42" s="32"/>
    </row>
    <row r="43" ht="14.25" customHeight="1">
      <c r="I43" s="32"/>
    </row>
    <row r="44" ht="14.25" customHeight="1">
      <c r="I44" s="32"/>
    </row>
    <row r="45" ht="14.25" customHeight="1">
      <c r="I45" s="32"/>
    </row>
    <row r="46" ht="14.25" customHeight="1">
      <c r="I46" s="32"/>
    </row>
    <row r="47" ht="14.25" customHeight="1">
      <c r="I47" s="32"/>
    </row>
    <row r="48" ht="14.25" customHeight="1">
      <c r="I48" s="32"/>
    </row>
    <row r="49" ht="14.25" customHeight="1">
      <c r="I49" s="32"/>
    </row>
    <row r="50" ht="14.25" customHeight="1">
      <c r="I50" s="32"/>
    </row>
    <row r="51" ht="14.25" customHeight="1">
      <c r="I51" s="32"/>
    </row>
    <row r="52" ht="14.25" customHeight="1">
      <c r="I52" s="32"/>
    </row>
    <row r="53" ht="14.25" customHeight="1">
      <c r="I53" s="32"/>
    </row>
    <row r="54" ht="14.25" customHeight="1">
      <c r="I54" s="32"/>
    </row>
    <row r="55" ht="14.25" customHeight="1">
      <c r="I55" s="32"/>
    </row>
    <row r="56" ht="14.25" customHeight="1">
      <c r="I56" s="32"/>
    </row>
    <row r="57" ht="14.25" customHeight="1">
      <c r="I57" s="32"/>
    </row>
    <row r="58" ht="14.25" customHeight="1">
      <c r="I58" s="32"/>
    </row>
    <row r="59" ht="14.25" customHeight="1">
      <c r="I59" s="32"/>
    </row>
    <row r="60" ht="14.25" customHeight="1">
      <c r="I60" s="32"/>
    </row>
    <row r="61" ht="14.25" customHeight="1">
      <c r="I61" s="32"/>
    </row>
    <row r="62" ht="14.25" customHeight="1">
      <c r="I62" s="32"/>
    </row>
    <row r="63" ht="14.25" customHeight="1">
      <c r="I63" s="32"/>
    </row>
    <row r="64" ht="14.25" customHeight="1">
      <c r="I64" s="32"/>
    </row>
    <row r="65" ht="14.25" customHeight="1">
      <c r="I65" s="32"/>
    </row>
    <row r="66" ht="14.25" customHeight="1">
      <c r="I66" s="32"/>
    </row>
    <row r="67" ht="14.25" customHeight="1">
      <c r="I67" s="32"/>
    </row>
    <row r="68" ht="14.25" customHeight="1">
      <c r="I68" s="32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38"/>
  <dataValidations>
    <dataValidation type="list" allowBlank="1" sqref="I2:I68">
      <formula1>"Chưa bắt đầu,Đang làm,Đã test Postman,Hoàn thành"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8.0"/>
    <col customWidth="1" min="3" max="4" width="11.0"/>
    <col customWidth="1" min="5" max="5" width="64.0"/>
    <col customWidth="1" min="6" max="6" width="14.0"/>
    <col customWidth="1" min="7" max="26" width="8.57"/>
  </cols>
  <sheetData>
    <row r="1" ht="31.5" customHeight="1">
      <c r="A1" s="3" t="s">
        <v>49</v>
      </c>
      <c r="B1" s="3" t="s">
        <v>694</v>
      </c>
      <c r="C1" s="3" t="s">
        <v>696</v>
      </c>
      <c r="D1" s="3" t="s">
        <v>697</v>
      </c>
      <c r="E1" s="3" t="s">
        <v>698</v>
      </c>
      <c r="F1" s="3" t="s">
        <v>699</v>
      </c>
    </row>
    <row r="2" ht="24.75" customHeight="1">
      <c r="A2" s="11">
        <v>1.0</v>
      </c>
      <c r="B2" s="16" t="s">
        <v>701</v>
      </c>
      <c r="C2" s="11" t="s">
        <v>43</v>
      </c>
      <c r="D2" s="11" t="s">
        <v>201</v>
      </c>
      <c r="E2" s="16" t="s">
        <v>703</v>
      </c>
      <c r="F2" s="11" t="s">
        <v>41</v>
      </c>
    </row>
    <row r="3" ht="24.75" customHeight="1">
      <c r="A3" s="11">
        <v>2.0</v>
      </c>
      <c r="B3" s="16" t="s">
        <v>704</v>
      </c>
      <c r="C3" s="11" t="s">
        <v>201</v>
      </c>
      <c r="D3" s="11" t="s">
        <v>43</v>
      </c>
      <c r="E3" s="16" t="s">
        <v>705</v>
      </c>
      <c r="F3" s="11" t="s">
        <v>41</v>
      </c>
    </row>
    <row r="4" ht="24.75" customHeight="1">
      <c r="A4" s="11">
        <v>3.0</v>
      </c>
      <c r="B4" s="16" t="s">
        <v>709</v>
      </c>
      <c r="C4" s="11" t="s">
        <v>201</v>
      </c>
      <c r="D4" s="11" t="s">
        <v>201</v>
      </c>
      <c r="E4" s="16" t="s">
        <v>710</v>
      </c>
      <c r="F4" s="11" t="s">
        <v>42</v>
      </c>
    </row>
    <row r="5" ht="24.75" customHeight="1">
      <c r="A5" s="11">
        <v>4.0</v>
      </c>
      <c r="B5" s="16" t="s">
        <v>711</v>
      </c>
      <c r="C5" s="11" t="s">
        <v>201</v>
      </c>
      <c r="D5" s="11" t="s">
        <v>201</v>
      </c>
      <c r="E5" s="16" t="s">
        <v>714</v>
      </c>
      <c r="F5" s="11" t="s">
        <v>41</v>
      </c>
    </row>
    <row r="6" ht="24.75" customHeight="1">
      <c r="A6" s="11">
        <v>5.0</v>
      </c>
      <c r="B6" s="16" t="s">
        <v>716</v>
      </c>
      <c r="C6" s="11" t="s">
        <v>201</v>
      </c>
      <c r="D6" s="11" t="s">
        <v>43</v>
      </c>
      <c r="E6" s="16" t="s">
        <v>720</v>
      </c>
      <c r="F6" s="11" t="s">
        <v>41</v>
      </c>
    </row>
    <row r="7" ht="24.75" customHeight="1">
      <c r="A7" s="11">
        <v>6.0</v>
      </c>
      <c r="B7" s="16" t="s">
        <v>721</v>
      </c>
      <c r="C7" s="11" t="s">
        <v>201</v>
      </c>
      <c r="D7" s="11" t="s">
        <v>43</v>
      </c>
      <c r="E7" s="16" t="s">
        <v>722</v>
      </c>
      <c r="F7" s="11" t="s">
        <v>41</v>
      </c>
    </row>
    <row r="8" ht="24.75" customHeight="1">
      <c r="A8" s="11">
        <v>7.0</v>
      </c>
      <c r="B8" s="16" t="s">
        <v>724</v>
      </c>
      <c r="C8" s="11" t="s">
        <v>43</v>
      </c>
      <c r="D8" s="11" t="s">
        <v>201</v>
      </c>
      <c r="E8" s="16" t="s">
        <v>725</v>
      </c>
      <c r="F8" s="11" t="s">
        <v>41</v>
      </c>
    </row>
    <row r="9" ht="24.75" customHeight="1">
      <c r="A9" s="11">
        <v>8.0</v>
      </c>
      <c r="B9" s="16" t="s">
        <v>726</v>
      </c>
      <c r="C9" s="11" t="s">
        <v>201</v>
      </c>
      <c r="D9" s="11" t="s">
        <v>201</v>
      </c>
      <c r="E9" s="16" t="s">
        <v>727</v>
      </c>
      <c r="F9" s="11" t="s">
        <v>68</v>
      </c>
    </row>
    <row r="10" ht="14.25" customHeight="1">
      <c r="A10" s="11">
        <v>9.0</v>
      </c>
      <c r="B10" s="16" t="s">
        <v>728</v>
      </c>
      <c r="C10" s="11" t="s">
        <v>43</v>
      </c>
      <c r="D10" s="11" t="s">
        <v>201</v>
      </c>
      <c r="E10" s="16" t="s">
        <v>730</v>
      </c>
      <c r="F10" s="11" t="s">
        <v>68</v>
      </c>
    </row>
    <row r="11" ht="24.75" customHeight="1">
      <c r="A11" s="11">
        <v>10.0</v>
      </c>
      <c r="B11" s="16" t="s">
        <v>731</v>
      </c>
      <c r="C11" s="11" t="s">
        <v>201</v>
      </c>
      <c r="D11" s="11" t="s">
        <v>43</v>
      </c>
      <c r="E11" s="16" t="s">
        <v>732</v>
      </c>
      <c r="F11" s="11" t="s">
        <v>41</v>
      </c>
    </row>
    <row r="12" ht="24.75" customHeight="1">
      <c r="A12" s="11">
        <v>11.0</v>
      </c>
      <c r="B12" s="16" t="s">
        <v>733</v>
      </c>
      <c r="C12" s="11" t="s">
        <v>201</v>
      </c>
      <c r="D12" s="11" t="s">
        <v>201</v>
      </c>
      <c r="E12" s="16" t="s">
        <v>736</v>
      </c>
      <c r="F12" s="11" t="s">
        <v>41</v>
      </c>
    </row>
    <row r="13" ht="24.75" customHeight="1">
      <c r="A13" s="11">
        <v>12.0</v>
      </c>
      <c r="B13" s="16" t="s">
        <v>737</v>
      </c>
      <c r="C13" s="11" t="s">
        <v>201</v>
      </c>
      <c r="D13" s="11" t="s">
        <v>43</v>
      </c>
      <c r="E13" s="16" t="s">
        <v>738</v>
      </c>
      <c r="F13" s="11" t="s">
        <v>42</v>
      </c>
    </row>
    <row r="14" ht="24.75" customHeight="1">
      <c r="A14" s="11">
        <v>13.0</v>
      </c>
      <c r="B14" s="16" t="s">
        <v>740</v>
      </c>
      <c r="C14" s="11" t="s">
        <v>201</v>
      </c>
      <c r="D14" s="11" t="s">
        <v>43</v>
      </c>
      <c r="E14" s="16" t="s">
        <v>742</v>
      </c>
      <c r="F14" s="11" t="s">
        <v>42</v>
      </c>
    </row>
    <row r="15" ht="24.75" customHeight="1">
      <c r="A15" s="11">
        <v>14.0</v>
      </c>
      <c r="B15" s="16" t="s">
        <v>744</v>
      </c>
      <c r="C15" s="11" t="s">
        <v>43</v>
      </c>
      <c r="D15" s="11" t="s">
        <v>43</v>
      </c>
      <c r="E15" s="16" t="s">
        <v>746</v>
      </c>
      <c r="F15" s="11" t="s">
        <v>41</v>
      </c>
    </row>
    <row r="16" ht="24.75" customHeight="1">
      <c r="A16" s="11">
        <v>15.0</v>
      </c>
      <c r="B16" s="16" t="s">
        <v>748</v>
      </c>
      <c r="C16" s="11" t="s">
        <v>43</v>
      </c>
      <c r="D16" s="11" t="s">
        <v>43</v>
      </c>
      <c r="E16" s="16" t="s">
        <v>750</v>
      </c>
      <c r="F16" s="11" t="s">
        <v>41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90.0"/>
    <col customWidth="1" min="3" max="3" width="14.0"/>
    <col customWidth="1" min="4" max="26" width="8.57"/>
  </cols>
  <sheetData>
    <row r="1" ht="14.25" customHeight="1">
      <c r="A1" s="48" t="s">
        <v>729</v>
      </c>
      <c r="B1" s="49"/>
      <c r="C1" s="50"/>
    </row>
    <row r="2" ht="15.0" customHeight="1">
      <c r="A2" s="51" t="s">
        <v>739</v>
      </c>
      <c r="B2" s="16" t="s">
        <v>743</v>
      </c>
    </row>
    <row r="3" ht="15.0" customHeight="1">
      <c r="A3" s="51" t="s">
        <v>739</v>
      </c>
      <c r="B3" s="16" t="s">
        <v>745</v>
      </c>
    </row>
    <row r="4" ht="15.0" customHeight="1">
      <c r="A4" s="51" t="s">
        <v>739</v>
      </c>
      <c r="B4" s="16" t="s">
        <v>747</v>
      </c>
    </row>
    <row r="5" ht="15.0" customHeight="1">
      <c r="A5" s="51" t="s">
        <v>739</v>
      </c>
      <c r="B5" s="16" t="s">
        <v>749</v>
      </c>
    </row>
    <row r="6" ht="15.0" customHeight="1">
      <c r="A6" s="51" t="s">
        <v>739</v>
      </c>
      <c r="B6" s="16" t="s">
        <v>751</v>
      </c>
    </row>
    <row r="7" ht="15.0" customHeight="1">
      <c r="A7" s="51" t="s">
        <v>739</v>
      </c>
      <c r="B7" s="16" t="s">
        <v>752</v>
      </c>
    </row>
    <row r="8" ht="15.0" customHeight="1">
      <c r="A8" s="51" t="s">
        <v>739</v>
      </c>
      <c r="B8" s="16" t="s">
        <v>754</v>
      </c>
    </row>
    <row r="9" ht="15.0" customHeight="1">
      <c r="A9" s="51" t="s">
        <v>739</v>
      </c>
      <c r="B9" s="16" t="s">
        <v>755</v>
      </c>
    </row>
    <row r="10" ht="14.25" customHeight="1"/>
    <row r="11" ht="14.25" customHeight="1">
      <c r="A11" s="48" t="s">
        <v>756</v>
      </c>
      <c r="B11" s="49"/>
      <c r="C11" s="50"/>
    </row>
    <row r="12" ht="15.0" customHeight="1">
      <c r="A12" s="51" t="s">
        <v>739</v>
      </c>
      <c r="B12" s="16" t="s">
        <v>757</v>
      </c>
    </row>
    <row r="13" ht="15.0" customHeight="1">
      <c r="A13" s="51" t="s">
        <v>739</v>
      </c>
      <c r="B13" s="16" t="s">
        <v>758</v>
      </c>
    </row>
    <row r="14" ht="15.0" customHeight="1">
      <c r="A14" s="51" t="s">
        <v>739</v>
      </c>
      <c r="B14" s="16" t="s">
        <v>759</v>
      </c>
    </row>
    <row r="15" ht="14.25" customHeight="1"/>
    <row r="16" ht="14.25" customHeight="1">
      <c r="A16" s="48" t="s">
        <v>760</v>
      </c>
      <c r="B16" s="49"/>
      <c r="C16" s="50"/>
    </row>
    <row r="17" ht="15.0" customHeight="1">
      <c r="A17" s="51" t="s">
        <v>739</v>
      </c>
      <c r="B17" s="16" t="s">
        <v>762</v>
      </c>
    </row>
    <row r="18" ht="15.0" customHeight="1">
      <c r="A18" s="51" t="s">
        <v>739</v>
      </c>
      <c r="B18" s="16" t="s">
        <v>764</v>
      </c>
    </row>
    <row r="19" ht="15.0" customHeight="1">
      <c r="A19" s="51" t="s">
        <v>739</v>
      </c>
      <c r="B19" s="16" t="s">
        <v>765</v>
      </c>
    </row>
    <row r="20" ht="15.0" customHeight="1">
      <c r="A20" s="51" t="s">
        <v>739</v>
      </c>
      <c r="B20" s="16" t="s">
        <v>766</v>
      </c>
    </row>
    <row r="21" ht="15.0" customHeight="1">
      <c r="A21" s="51" t="s">
        <v>739</v>
      </c>
      <c r="B21" s="16" t="s">
        <v>767</v>
      </c>
    </row>
    <row r="22" ht="14.25" customHeight="1"/>
    <row r="23" ht="14.25" customHeight="1">
      <c r="A23" s="48" t="s">
        <v>768</v>
      </c>
      <c r="B23" s="49"/>
      <c r="C23" s="50"/>
    </row>
    <row r="24" ht="15.0" customHeight="1">
      <c r="A24" s="51" t="s">
        <v>739</v>
      </c>
      <c r="B24" s="16" t="s">
        <v>770</v>
      </c>
    </row>
    <row r="25" ht="15.0" customHeight="1">
      <c r="A25" s="51" t="s">
        <v>739</v>
      </c>
      <c r="B25" s="16" t="s">
        <v>771</v>
      </c>
    </row>
    <row r="26" ht="15.0" customHeight="1">
      <c r="A26" s="51" t="s">
        <v>739</v>
      </c>
      <c r="B26" s="16" t="s">
        <v>772</v>
      </c>
    </row>
    <row r="27" ht="24.75" customHeight="1">
      <c r="A27" s="51" t="s">
        <v>739</v>
      </c>
      <c r="B27" s="16" t="s">
        <v>773</v>
      </c>
    </row>
    <row r="28" ht="24.75" customHeight="1">
      <c r="A28" s="51" t="s">
        <v>739</v>
      </c>
      <c r="B28" s="16" t="s">
        <v>774</v>
      </c>
    </row>
    <row r="29" ht="14.25" customHeight="1"/>
    <row r="30" ht="14.25" customHeight="1">
      <c r="A30" s="48" t="s">
        <v>776</v>
      </c>
      <c r="B30" s="49"/>
      <c r="C30" s="50"/>
    </row>
    <row r="31" ht="15.0" customHeight="1">
      <c r="A31" s="51" t="s">
        <v>739</v>
      </c>
      <c r="B31" s="16" t="s">
        <v>777</v>
      </c>
    </row>
    <row r="32" ht="15.0" customHeight="1">
      <c r="A32" s="51" t="s">
        <v>739</v>
      </c>
      <c r="B32" s="16" t="s">
        <v>778</v>
      </c>
    </row>
    <row r="33" ht="15.0" customHeight="1">
      <c r="A33" s="51" t="s">
        <v>739</v>
      </c>
      <c r="B33" s="16" t="s">
        <v>779</v>
      </c>
    </row>
    <row r="34" ht="15.0" customHeight="1">
      <c r="A34" s="51" t="s">
        <v>739</v>
      </c>
      <c r="B34" s="16" t="s">
        <v>780</v>
      </c>
    </row>
    <row r="35" ht="15.0" customHeight="1">
      <c r="A35" s="51" t="s">
        <v>739</v>
      </c>
      <c r="B35" s="16" t="s">
        <v>781</v>
      </c>
    </row>
    <row r="36" ht="15.0" customHeight="1">
      <c r="A36" s="51" t="s">
        <v>739</v>
      </c>
      <c r="B36" s="16" t="s">
        <v>782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C1"/>
    <mergeCell ref="A11:C11"/>
    <mergeCell ref="A16:C16"/>
    <mergeCell ref="A23:C23"/>
    <mergeCell ref="A30:C30"/>
  </mergeCells>
  <printOptions/>
  <pageMargins bottom="1.0" footer="0.0" header="0.0" left="0.75" right="0.75" top="1.0"/>
  <pageSetup paperSize="9" orientation="portrait"/>
  <drawing r:id="rId1"/>
</worksheet>
</file>